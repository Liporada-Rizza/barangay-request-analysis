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Data" sheetId="2" state="visible" r:id="rId4"/>
    <sheet name="Q1 Category" sheetId="3" state="visible" r:id="rId5"/>
    <sheet name="Q2 Monthly" sheetId="4" state="visible" r:id="rId6"/>
    <sheet name="Q3 Zone" sheetId="5" state="visible" r:id="rId7"/>
    <sheet name="Q4 Resolution" sheetId="6" state="visible" r:id="rId8"/>
    <sheet name="Q5 Satisfaction" sheetId="7" state="visible" r:id="rId9"/>
    <sheet name="Findings" sheetId="8" state="visible" r:id="rId10"/>
  </sheets>
  <definedNames>
    <definedName function="false" hidden="true" localSheetId="1" name="_xlnm._FilterDatabase" vbProcedure="false">Data!$A$1:$I$218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<sst xmlns="http://schemas.openxmlformats.org/spreadsheetml/2006/main" count="1001" uniqueCount="334">
  <si>
    <t xml:space="preserve">Barangay Service Request Analysis (April–September 2026)</t>
  </si>
  <si>
    <t xml:space="preserve">Project 2: Data / Database Project</t>
  </si>
  <si>
    <t xml:space="preserve">Purpose: Analyze barangay service requests to find the most common concerns, monthly trends, problem areas, resolution speed, and resident satisfaction.</t>
  </si>
  <si>
    <t xml:space="preserve">Data source</t>
  </si>
  <si>
    <t xml:space="preserve">Simulated sample data (217 requests) created for practice, modeled on the AI-Assisted Barangay Service Request System (Project 1). It does not contain real residents or real barangay records.</t>
  </si>
  <si>
    <t xml:space="preserve">Columns in the Data sheet</t>
  </si>
  <si>
    <t xml:space="preserve">request_id – unique request number</t>
  </si>
  <si>
    <t xml:space="preserve">date_submitted – date the resident submitted the request</t>
  </si>
  <si>
    <t xml:space="preserve">zone – area of the barangay (Zone 1 to Zone 6)</t>
  </si>
  <si>
    <t xml:space="preserve">category – auto-detected category from the system</t>
  </si>
  <si>
    <t xml:space="preserve">status – Pending, In Progress, or Resolved</t>
  </si>
  <si>
    <t xml:space="preserve">date_resolved – date the request was resolved (blank if not yet resolved)</t>
  </si>
  <si>
    <t xml:space="preserve">days_to_resolve – number of days from submission to resolution</t>
  </si>
  <si>
    <t xml:space="preserve">satisfaction_rating – resident rating from 1 (lowest) to 5 (highest), resolved requests only</t>
  </si>
  <si>
    <t xml:space="preserve">month – helper column, formula =TEXT(date_submitted,"YYYY-MM")</t>
  </si>
  <si>
    <t xml:space="preserve">Sheets</t>
  </si>
  <si>
    <t xml:space="preserve">Q1 Category · Q2 Monthly · Q3 Zone · Q4 Resolution · Q5 Satisfaction · Findings</t>
  </si>
  <si>
    <t xml:space="preserve">Tools used: Google Sheets / Excel (COUNTIF, COUNTIFS, AVERAGEIFS, pivot tables, charts) and SQL (see the SQL queries file).</t>
  </si>
  <si>
    <t xml:space="preserve">AI use: AI generated the sample dataset and helped build the formulas and charts; I verified the results and wrote the interpretations.</t>
  </si>
  <si>
    <t xml:space="preserve">request_id</t>
  </si>
  <si>
    <t xml:space="preserve">date_submitted</t>
  </si>
  <si>
    <t xml:space="preserve">zone</t>
  </si>
  <si>
    <t xml:space="preserve">category</t>
  </si>
  <si>
    <t xml:space="preserve">status</t>
  </si>
  <si>
    <t xml:space="preserve">date_resolved</t>
  </si>
  <si>
    <t xml:space="preserve">days_to_resolve</t>
  </si>
  <si>
    <t xml:space="preserve">satisfaction_rating</t>
  </si>
  <si>
    <t xml:space="preserve">month</t>
  </si>
  <si>
    <t xml:space="preserve">REQ-0001</t>
  </si>
  <si>
    <t xml:space="preserve">Zone 4</t>
  </si>
  <si>
    <t xml:space="preserve">Water Supply</t>
  </si>
  <si>
    <t xml:space="preserve">In Progress</t>
  </si>
  <si>
    <t xml:space="preserve">REQ-0002</t>
  </si>
  <si>
    <t xml:space="preserve">Health</t>
  </si>
  <si>
    <t xml:space="preserve">Resolved</t>
  </si>
  <si>
    <t xml:space="preserve">REQ-0003</t>
  </si>
  <si>
    <t xml:space="preserve">Documents / Certificates</t>
  </si>
  <si>
    <t xml:space="preserve">REQ-0004</t>
  </si>
  <si>
    <t xml:space="preserve">Zone 3</t>
  </si>
  <si>
    <t xml:space="preserve">REQ-0005</t>
  </si>
  <si>
    <t xml:space="preserve">Zone 6</t>
  </si>
  <si>
    <t xml:space="preserve">Streetlight / Electrical</t>
  </si>
  <si>
    <t xml:space="preserve">REQ-0006</t>
  </si>
  <si>
    <t xml:space="preserve">Zone 5</t>
  </si>
  <si>
    <t xml:space="preserve">Peace and Order</t>
  </si>
  <si>
    <t xml:space="preserve">REQ-0007</t>
  </si>
  <si>
    <t xml:space="preserve">Road / Infrastructure</t>
  </si>
  <si>
    <t xml:space="preserve">REQ-0008</t>
  </si>
  <si>
    <t xml:space="preserve">REQ-0009</t>
  </si>
  <si>
    <t xml:space="preserve">REQ-0010</t>
  </si>
  <si>
    <t xml:space="preserve">REQ-0011</t>
  </si>
  <si>
    <t xml:space="preserve">REQ-0012</t>
  </si>
  <si>
    <t xml:space="preserve">Zone 1</t>
  </si>
  <si>
    <t xml:space="preserve">REQ-0013</t>
  </si>
  <si>
    <t xml:space="preserve">REQ-0014</t>
  </si>
  <si>
    <t xml:space="preserve">REQ-0015</t>
  </si>
  <si>
    <t xml:space="preserve">Garbage / Sanitation</t>
  </si>
  <si>
    <t xml:space="preserve">REQ-0016</t>
  </si>
  <si>
    <t xml:space="preserve">Others</t>
  </si>
  <si>
    <t xml:space="preserve">REQ-0017</t>
  </si>
  <si>
    <t xml:space="preserve">REQ-0018</t>
  </si>
  <si>
    <t xml:space="preserve">REQ-0019</t>
  </si>
  <si>
    <t xml:space="preserve">REQ-0020</t>
  </si>
  <si>
    <t xml:space="preserve">REQ-0021</t>
  </si>
  <si>
    <t xml:space="preserve">REQ-0022</t>
  </si>
  <si>
    <t xml:space="preserve">REQ-0023</t>
  </si>
  <si>
    <t xml:space="preserve">REQ-0024</t>
  </si>
  <si>
    <t xml:space="preserve">REQ-0025</t>
  </si>
  <si>
    <t xml:space="preserve">REQ-0026</t>
  </si>
  <si>
    <t xml:space="preserve">REQ-0027</t>
  </si>
  <si>
    <t xml:space="preserve">Zone 2</t>
  </si>
  <si>
    <t xml:space="preserve">REQ-0028</t>
  </si>
  <si>
    <t xml:space="preserve">REQ-0029</t>
  </si>
  <si>
    <t xml:space="preserve">REQ-0030</t>
  </si>
  <si>
    <t xml:space="preserve">REQ-0031</t>
  </si>
  <si>
    <t xml:space="preserve">REQ-0032</t>
  </si>
  <si>
    <t xml:space="preserve">REQ-0033</t>
  </si>
  <si>
    <t xml:space="preserve">REQ-0034</t>
  </si>
  <si>
    <t xml:space="preserve">REQ-0035</t>
  </si>
  <si>
    <t xml:space="preserve">REQ-0036</t>
  </si>
  <si>
    <t xml:space="preserve">REQ-0037</t>
  </si>
  <si>
    <t xml:space="preserve">REQ-0038</t>
  </si>
  <si>
    <t xml:space="preserve">REQ-0039</t>
  </si>
  <si>
    <t xml:space="preserve">REQ-0040</t>
  </si>
  <si>
    <t xml:space="preserve">REQ-0041</t>
  </si>
  <si>
    <t xml:space="preserve">REQ-0042</t>
  </si>
  <si>
    <t xml:space="preserve">REQ-0043</t>
  </si>
  <si>
    <t xml:space="preserve">REQ-0044</t>
  </si>
  <si>
    <t xml:space="preserve">REQ-0045</t>
  </si>
  <si>
    <t xml:space="preserve">REQ-0046</t>
  </si>
  <si>
    <t xml:space="preserve">REQ-0047</t>
  </si>
  <si>
    <t xml:space="preserve">REQ-0048</t>
  </si>
  <si>
    <t xml:space="preserve">REQ-0049</t>
  </si>
  <si>
    <t xml:space="preserve">REQ-0050</t>
  </si>
  <si>
    <t xml:space="preserve">REQ-0051</t>
  </si>
  <si>
    <t xml:space="preserve">REQ-0052</t>
  </si>
  <si>
    <t xml:space="preserve">REQ-0053</t>
  </si>
  <si>
    <t xml:space="preserve">REQ-0054</t>
  </si>
  <si>
    <t xml:space="preserve">REQ-0055</t>
  </si>
  <si>
    <t xml:space="preserve">REQ-0056</t>
  </si>
  <si>
    <t xml:space="preserve">REQ-0057</t>
  </si>
  <si>
    <t xml:space="preserve">REQ-0058</t>
  </si>
  <si>
    <t xml:space="preserve">REQ-0059</t>
  </si>
  <si>
    <t xml:space="preserve">REQ-0060</t>
  </si>
  <si>
    <t xml:space="preserve">REQ-0061</t>
  </si>
  <si>
    <t xml:space="preserve">REQ-0062</t>
  </si>
  <si>
    <t xml:space="preserve">REQ-0063</t>
  </si>
  <si>
    <t xml:space="preserve">REQ-0064</t>
  </si>
  <si>
    <t xml:space="preserve">REQ-0065</t>
  </si>
  <si>
    <t xml:space="preserve">REQ-0066</t>
  </si>
  <si>
    <t xml:space="preserve">REQ-0067</t>
  </si>
  <si>
    <t xml:space="preserve">REQ-0068</t>
  </si>
  <si>
    <t xml:space="preserve">REQ-0069</t>
  </si>
  <si>
    <t xml:space="preserve">REQ-0070</t>
  </si>
  <si>
    <t xml:space="preserve">REQ-0071</t>
  </si>
  <si>
    <t xml:space="preserve">REQ-0072</t>
  </si>
  <si>
    <t xml:space="preserve">REQ-0073</t>
  </si>
  <si>
    <t xml:space="preserve">REQ-0074</t>
  </si>
  <si>
    <t xml:space="preserve">REQ-0075</t>
  </si>
  <si>
    <t xml:space="preserve">REQ-0076</t>
  </si>
  <si>
    <t xml:space="preserve">REQ-0077</t>
  </si>
  <si>
    <t xml:space="preserve">REQ-0078</t>
  </si>
  <si>
    <t xml:space="preserve">REQ-0079</t>
  </si>
  <si>
    <t xml:space="preserve">REQ-0080</t>
  </si>
  <si>
    <t xml:space="preserve">REQ-0081</t>
  </si>
  <si>
    <t xml:space="preserve">REQ-0082</t>
  </si>
  <si>
    <t xml:space="preserve">REQ-0083</t>
  </si>
  <si>
    <t xml:space="preserve">REQ-0084</t>
  </si>
  <si>
    <t xml:space="preserve">REQ-0085</t>
  </si>
  <si>
    <t xml:space="preserve">REQ-0086</t>
  </si>
  <si>
    <t xml:space="preserve">REQ-0087</t>
  </si>
  <si>
    <t xml:space="preserve">REQ-0088</t>
  </si>
  <si>
    <t xml:space="preserve">REQ-0089</t>
  </si>
  <si>
    <t xml:space="preserve">REQ-0090</t>
  </si>
  <si>
    <t xml:space="preserve">REQ-0091</t>
  </si>
  <si>
    <t xml:space="preserve">REQ-0092</t>
  </si>
  <si>
    <t xml:space="preserve">REQ-0093</t>
  </si>
  <si>
    <t xml:space="preserve">REQ-0094</t>
  </si>
  <si>
    <t xml:space="preserve">REQ-0095</t>
  </si>
  <si>
    <t xml:space="preserve">REQ-0096</t>
  </si>
  <si>
    <t xml:space="preserve">REQ-0097</t>
  </si>
  <si>
    <t xml:space="preserve">REQ-0098</t>
  </si>
  <si>
    <t xml:space="preserve">REQ-0099</t>
  </si>
  <si>
    <t xml:space="preserve">REQ-0100</t>
  </si>
  <si>
    <t xml:space="preserve">REQ-0101</t>
  </si>
  <si>
    <t xml:space="preserve">REQ-0102</t>
  </si>
  <si>
    <t xml:space="preserve">REQ-0103</t>
  </si>
  <si>
    <t xml:space="preserve">REQ-0104</t>
  </si>
  <si>
    <t xml:space="preserve">REQ-0105</t>
  </si>
  <si>
    <t xml:space="preserve">REQ-0106</t>
  </si>
  <si>
    <t xml:space="preserve">REQ-0107</t>
  </si>
  <si>
    <t xml:space="preserve">REQ-0108</t>
  </si>
  <si>
    <t xml:space="preserve">REQ-0109</t>
  </si>
  <si>
    <t xml:space="preserve">REQ-0110</t>
  </si>
  <si>
    <t xml:space="preserve">REQ-0111</t>
  </si>
  <si>
    <t xml:space="preserve">REQ-0112</t>
  </si>
  <si>
    <t xml:space="preserve">REQ-0113</t>
  </si>
  <si>
    <t xml:space="preserve">REQ-0114</t>
  </si>
  <si>
    <t xml:space="preserve">REQ-0115</t>
  </si>
  <si>
    <t xml:space="preserve">REQ-0116</t>
  </si>
  <si>
    <t xml:space="preserve">REQ-0117</t>
  </si>
  <si>
    <t xml:space="preserve">REQ-0118</t>
  </si>
  <si>
    <t xml:space="preserve">REQ-0119</t>
  </si>
  <si>
    <t xml:space="preserve">REQ-0120</t>
  </si>
  <si>
    <t xml:space="preserve">REQ-0121</t>
  </si>
  <si>
    <t xml:space="preserve">REQ-0122</t>
  </si>
  <si>
    <t xml:space="preserve">REQ-0123</t>
  </si>
  <si>
    <t xml:space="preserve">REQ-0124</t>
  </si>
  <si>
    <t xml:space="preserve">REQ-0125</t>
  </si>
  <si>
    <t xml:space="preserve">REQ-0126</t>
  </si>
  <si>
    <t xml:space="preserve">REQ-0127</t>
  </si>
  <si>
    <t xml:space="preserve">REQ-0128</t>
  </si>
  <si>
    <t xml:space="preserve">REQ-0129</t>
  </si>
  <si>
    <t xml:space="preserve">REQ-0130</t>
  </si>
  <si>
    <t xml:space="preserve">REQ-0131</t>
  </si>
  <si>
    <t xml:space="preserve">REQ-0132</t>
  </si>
  <si>
    <t xml:space="preserve">REQ-0133</t>
  </si>
  <si>
    <t xml:space="preserve">REQ-0134</t>
  </si>
  <si>
    <t xml:space="preserve">REQ-0135</t>
  </si>
  <si>
    <t xml:space="preserve">REQ-0136</t>
  </si>
  <si>
    <t xml:space="preserve">REQ-0137</t>
  </si>
  <si>
    <t xml:space="preserve">REQ-0138</t>
  </si>
  <si>
    <t xml:space="preserve">REQ-0139</t>
  </si>
  <si>
    <t xml:space="preserve">REQ-0140</t>
  </si>
  <si>
    <t xml:space="preserve">REQ-0141</t>
  </si>
  <si>
    <t xml:space="preserve">REQ-0142</t>
  </si>
  <si>
    <t xml:space="preserve">REQ-0143</t>
  </si>
  <si>
    <t xml:space="preserve">REQ-0144</t>
  </si>
  <si>
    <t xml:space="preserve">REQ-0145</t>
  </si>
  <si>
    <t xml:space="preserve">REQ-0146</t>
  </si>
  <si>
    <t xml:space="preserve">REQ-0147</t>
  </si>
  <si>
    <t xml:space="preserve">REQ-0148</t>
  </si>
  <si>
    <t xml:space="preserve">REQ-0149</t>
  </si>
  <si>
    <t xml:space="preserve">REQ-0150</t>
  </si>
  <si>
    <t xml:space="preserve">REQ-0151</t>
  </si>
  <si>
    <t xml:space="preserve">REQ-0152</t>
  </si>
  <si>
    <t xml:space="preserve">REQ-0153</t>
  </si>
  <si>
    <t xml:space="preserve">REQ-0154</t>
  </si>
  <si>
    <t xml:space="preserve">REQ-0155</t>
  </si>
  <si>
    <t xml:space="preserve">REQ-0156</t>
  </si>
  <si>
    <t xml:space="preserve">REQ-0157</t>
  </si>
  <si>
    <t xml:space="preserve">REQ-0158</t>
  </si>
  <si>
    <t xml:space="preserve">REQ-0159</t>
  </si>
  <si>
    <t xml:space="preserve">REQ-0160</t>
  </si>
  <si>
    <t xml:space="preserve">REQ-0161</t>
  </si>
  <si>
    <t xml:space="preserve">REQ-0162</t>
  </si>
  <si>
    <t xml:space="preserve">REQ-0163</t>
  </si>
  <si>
    <t xml:space="preserve">REQ-0164</t>
  </si>
  <si>
    <t xml:space="preserve">REQ-0165</t>
  </si>
  <si>
    <t xml:space="preserve">REQ-0166</t>
  </si>
  <si>
    <t xml:space="preserve">REQ-0167</t>
  </si>
  <si>
    <t xml:space="preserve">REQ-0168</t>
  </si>
  <si>
    <t xml:space="preserve">REQ-0169</t>
  </si>
  <si>
    <t xml:space="preserve">REQ-0170</t>
  </si>
  <si>
    <t xml:space="preserve">REQ-0171</t>
  </si>
  <si>
    <t xml:space="preserve">REQ-0172</t>
  </si>
  <si>
    <t xml:space="preserve">REQ-0173</t>
  </si>
  <si>
    <t xml:space="preserve">REQ-0174</t>
  </si>
  <si>
    <t xml:space="preserve">REQ-0175</t>
  </si>
  <si>
    <t xml:space="preserve">REQ-0176</t>
  </si>
  <si>
    <t xml:space="preserve">REQ-0177</t>
  </si>
  <si>
    <t xml:space="preserve">REQ-0178</t>
  </si>
  <si>
    <t xml:space="preserve">REQ-0179</t>
  </si>
  <si>
    <t xml:space="preserve">REQ-0180</t>
  </si>
  <si>
    <t xml:space="preserve">REQ-0181</t>
  </si>
  <si>
    <t xml:space="preserve">REQ-0182</t>
  </si>
  <si>
    <t xml:space="preserve">REQ-0183</t>
  </si>
  <si>
    <t xml:space="preserve">REQ-0184</t>
  </si>
  <si>
    <t xml:space="preserve">REQ-0185</t>
  </si>
  <si>
    <t xml:space="preserve">REQ-0186</t>
  </si>
  <si>
    <t xml:space="preserve">REQ-0187</t>
  </si>
  <si>
    <t xml:space="preserve">REQ-0188</t>
  </si>
  <si>
    <t xml:space="preserve">REQ-0189</t>
  </si>
  <si>
    <t xml:space="preserve">REQ-0190</t>
  </si>
  <si>
    <t xml:space="preserve">REQ-0191</t>
  </si>
  <si>
    <t xml:space="preserve">REQ-0192</t>
  </si>
  <si>
    <t xml:space="preserve">REQ-0193</t>
  </si>
  <si>
    <t xml:space="preserve">REQ-0194</t>
  </si>
  <si>
    <t xml:space="preserve">REQ-0195</t>
  </si>
  <si>
    <t xml:space="preserve">REQ-0196</t>
  </si>
  <si>
    <t xml:space="preserve">REQ-0197</t>
  </si>
  <si>
    <t xml:space="preserve">REQ-0198</t>
  </si>
  <si>
    <t xml:space="preserve">REQ-0199</t>
  </si>
  <si>
    <t xml:space="preserve">REQ-0200</t>
  </si>
  <si>
    <t xml:space="preserve">REQ-0201</t>
  </si>
  <si>
    <t xml:space="preserve">REQ-0202</t>
  </si>
  <si>
    <t xml:space="preserve">REQ-0203</t>
  </si>
  <si>
    <t xml:space="preserve">REQ-0204</t>
  </si>
  <si>
    <t xml:space="preserve">REQ-0205</t>
  </si>
  <si>
    <t xml:space="preserve">REQ-0206</t>
  </si>
  <si>
    <t xml:space="preserve">REQ-0207</t>
  </si>
  <si>
    <t xml:space="preserve">REQ-0208</t>
  </si>
  <si>
    <t xml:space="preserve">REQ-0209</t>
  </si>
  <si>
    <t xml:space="preserve">REQ-0210</t>
  </si>
  <si>
    <t xml:space="preserve">REQ-0211</t>
  </si>
  <si>
    <t xml:space="preserve">REQ-0212</t>
  </si>
  <si>
    <t xml:space="preserve">REQ-0213</t>
  </si>
  <si>
    <t xml:space="preserve">Pending</t>
  </si>
  <si>
    <t xml:space="preserve">REQ-0214</t>
  </si>
  <si>
    <t xml:space="preserve">REQ-0215</t>
  </si>
  <si>
    <t xml:space="preserve">REQ-0216</t>
  </si>
  <si>
    <t xml:space="preserve">REQ-0217</t>
  </si>
  <si>
    <t xml:space="preserve">Q1. Which concern is reported the most?</t>
  </si>
  <si>
    <t xml:space="preserve">Category</t>
  </si>
  <si>
    <t xml:space="preserve">Requests</t>
  </si>
  <si>
    <t xml:space="preserve">Share of total</t>
  </si>
  <si>
    <t xml:space="preserve">Total</t>
  </si>
  <si>
    <t xml:space="preserve">Formula: =COUNTIF(Data!D:D, category). Share = requests ÷ total.</t>
  </si>
  <si>
    <t xml:space="preserve">Q2. How do requests change per month?</t>
  </si>
  <si>
    <t xml:space="preserve">Month key</t>
  </si>
  <si>
    <t xml:space="preserve">Month</t>
  </si>
  <si>
    <t xml:space="preserve">Total requests</t>
  </si>
  <si>
    <t xml:space="preserve">Rain-related total</t>
  </si>
  <si>
    <t xml:space="preserve">2026-04</t>
  </si>
  <si>
    <t xml:space="preserve">Apr 2026</t>
  </si>
  <si>
    <t xml:space="preserve">2026-05</t>
  </si>
  <si>
    <t xml:space="preserve">May 2026</t>
  </si>
  <si>
    <t xml:space="preserve">2026-06</t>
  </si>
  <si>
    <t xml:space="preserve">Jun 2026</t>
  </si>
  <si>
    <t xml:space="preserve">2026-07</t>
  </si>
  <si>
    <t xml:space="preserve">Jul 2026</t>
  </si>
  <si>
    <t xml:space="preserve">2026-08</t>
  </si>
  <si>
    <t xml:space="preserve">Aug 2026</t>
  </si>
  <si>
    <t xml:space="preserve">2026-09</t>
  </si>
  <si>
    <t xml:space="preserve">Sep 2026</t>
  </si>
  <si>
    <t xml:space="preserve">Dry season (Apr–Jun)</t>
  </si>
  <si>
    <t xml:space="preserve">Rainy season (Jul–Sep)</t>
  </si>
  <si>
    <t xml:space="preserve">Change</t>
  </si>
  <si>
    <t xml:space="preserve">Rain-related = Garbage / Sanitation + Road / Infrastructure + Health (flooding, clogged drainage, dengue). Formulas: COUNTIF and COUNTIFS on the month helper column.</t>
  </si>
  <si>
    <t xml:space="preserve">Q3. Which zone has the most requests?</t>
  </si>
  <si>
    <t xml:space="preserve">Zone</t>
  </si>
  <si>
    <t xml:space="preserve">Garbage share of zone</t>
  </si>
  <si>
    <t xml:space="preserve">Zone 3 share of ALL garbage requests:</t>
  </si>
  <si>
    <t xml:space="preserve">Formulas: =COUNTIF(Data!C:C, zone) and =COUNTIFS(Data!C:C, zone, Data!D:D, "Garbage / Sanitation").</t>
  </si>
  <si>
    <t xml:space="preserve">Q4. Which category takes the longest to resolve?</t>
  </si>
  <si>
    <t xml:space="preserve">Resolved requests</t>
  </si>
  <si>
    <t xml:space="preserve">Average days to resolve</t>
  </si>
  <si>
    <t xml:space="preserve">Longest (days)</t>
  </si>
  <si>
    <t xml:space="preserve">All categories</t>
  </si>
  <si>
    <t xml:space="preserve">Still open (Pending + In Progress):</t>
  </si>
  <si>
    <t xml:space="preserve">Only Resolved requests are included. Formula: =AVERAGEIFS(Data!G:G, Data!D:D, category, Data!E:E, "Resolved").</t>
  </si>
  <si>
    <t xml:space="preserve">Q5. Does faster resolution mean happier residents?</t>
  </si>
  <si>
    <t xml:space="preserve">Resolution time</t>
  </si>
  <si>
    <t xml:space="preserve">Min days</t>
  </si>
  <si>
    <t xml:space="preserve">Max days</t>
  </si>
  <si>
    <t xml:space="preserve">Average rating (1–5)</t>
  </si>
  <si>
    <t xml:space="preserve">1–3 days</t>
  </si>
  <si>
    <t xml:space="preserve">4–7 days</t>
  </si>
  <si>
    <t xml:space="preserve">8–14 days</t>
  </si>
  <si>
    <t xml:space="preserve">15+ days</t>
  </si>
  <si>
    <t xml:space="preserve">All resolved</t>
  </si>
  <si>
    <t xml:space="preserve">Drop in rating (15+ days vs 1–3 days):</t>
  </si>
  <si>
    <t xml:space="preserve">Blue numbers are the day ranges you can change. Formula: =AVERAGEIFS(Data!H:H, Data!E:E, "Resolved", Data!G:G, "&gt;="&amp;min, Data!G:G, "&lt;="&amp;max).</t>
  </si>
  <si>
    <t xml:space="preserve">Key Findings and Recommendations</t>
  </si>
  <si>
    <t xml:space="preserve">Question</t>
  </si>
  <si>
    <t xml:space="preserve">What the data shows</t>
  </si>
  <si>
    <t xml:space="preserve">Recommendation</t>
  </si>
  <si>
    <t xml:space="preserve">1. Most reported concern</t>
  </si>
  <si>
    <t xml:space="preserve">Garbage / Sanitation is the top concern with 63 of 217 requests (29%), almost twice the second-highest category, Documents / Certificates (35).</t>
  </si>
  <si>
    <t xml:space="preserve">Review the garbage collection schedule and add collection days where requests are highest.</t>
  </si>
  <si>
    <t xml:space="preserve">2. Monthly trend</t>
  </si>
  <si>
    <t xml:space="preserve">Requests rose from 89 in the dry months (Apr–Jun) to 128 in the rainy months (Jul–Sep), a 44% increase. July was the busiest month (49). Rain-related requests (garbage, road, health) more than doubled, from 33 to 72 (+118%). Water Supply requests went the other way, mostly in April–May (dry season).</t>
  </si>
  <si>
    <t xml:space="preserve">Prepare before the rainy season: clear drainage and canals in June and plan extra road repair and dengue prevention activities.</t>
  </si>
  <si>
    <t xml:space="preserve">3. Problem area</t>
  </si>
  <si>
    <t xml:space="preserve">Zone 3 has the most requests (53). About half of Zone 3's requests are about garbage (27 of 53), and Zone 3 alone accounts for 43% of all garbage requests.</t>
  </si>
  <si>
    <t xml:space="preserve">Prioritize Zone 3 for garbage collection, add trash bins, and post reminders about proper waste disposal.</t>
  </si>
  <si>
    <t xml:space="preserve">4. Resolution speed</t>
  </si>
  <si>
    <t xml:space="preserve">The average resolution time is 6.2 days. Road / Infrastructure takes the longest at 17.2 days on average (up to 25 days), while Documents / Certificates take only 2.0 days. 20 requests are still open.</t>
  </si>
  <si>
    <t xml:space="preserve">Give residents an estimated completion time for road repairs and send status updates so they know the request is being handled.</t>
  </si>
  <si>
    <t xml:space="preserve">5. Satisfaction</t>
  </si>
  <si>
    <t xml:space="preserve">Ratings stay around 3.1–3.2 when requests are resolved within 14 days, but drop to 2.5 when they take 15 days or more (a drop of 0.7). Speed matters most for long delays, not small differences of a few days.</t>
  </si>
  <si>
    <t xml:space="preserve">Set a target to resolve or update every request within 14 days, especially road and streetlight concerns.</t>
  </si>
  <si>
    <t xml:space="preserve">Note: Based on simulated sample data (217 requests, April–September 2026). Numbers come from the Q1–Q5 sheets.</t>
  </si>
  <si>
    <t xml:space="preserve">Limitation: Satisfaction ratings exist only for resolved requests; the 20 open requests are not rated yet.</t>
  </si>
</sst>
</file>

<file path=xl/styles.xml><?xml version="1.0" encoding="utf-8"?>
<styleSheet xmlns="http://schemas.openxmlformats.org/spreadsheetml/2006/main">
  <numFmts count="9">
    <numFmt numFmtId="164" formatCode="General"/>
    <numFmt numFmtId="165" formatCode="yyyy\-mm\-dd"/>
    <numFmt numFmtId="166" formatCode="0.0%"/>
    <numFmt numFmtId="167" formatCode="General"/>
    <numFmt numFmtId="168" formatCode="\+0%;\-0%"/>
    <numFmt numFmtId="169" formatCode="0%"/>
    <numFmt numFmtId="170" formatCode="0.0"/>
    <numFmt numFmtId="171" formatCode="0.00"/>
    <numFmt numFmtId="172" formatCode="\+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i val="true"/>
      <sz val="11"/>
      <color rgb="FF555555"/>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C0504D"/>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Requests by Category (Apr–Sep 2026)</a:t>
            </a:r>
          </a:p>
        </c:rich>
      </c:tx>
      <c:overlay val="0"/>
      <c:spPr>
        <a:noFill/>
        <a:ln w="0">
          <a:noFill/>
        </a:ln>
      </c:spPr>
    </c:title>
    <c:autoTitleDeleted val="0"/>
    <c:plotArea>
      <c:barChart>
        <c:barDir val="bar"/>
        <c:grouping val="clustered"/>
        <c:varyColors val="0"/>
        <c:ser>
          <c:idx val="0"/>
          <c:order val="0"/>
          <c:tx>
            <c:strRef>
              <c:f>'Q1 Category'!B3</c:f>
              <c:strCache>
                <c:ptCount val="1"/>
                <c:pt idx="0">
                  <c:v>Requests</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'Q1 Category'!$A$4:$A$11</c:f>
              <c:strCache>
                <c:ptCount val="8"/>
                <c:pt idx="0">
                  <c:v>Garbage / Sanitation</c:v>
                </c:pt>
                <c:pt idx="1">
                  <c:v>Documents / Certificates</c:v>
                </c:pt>
                <c:pt idx="2">
                  <c:v>Streetlight / Electrical</c:v>
                </c:pt>
                <c:pt idx="3">
                  <c:v>Road / Infrastructure</c:v>
                </c:pt>
                <c:pt idx="4">
                  <c:v>Water Supply</c:v>
                </c:pt>
                <c:pt idx="5">
                  <c:v>Peace and Order</c:v>
                </c:pt>
                <c:pt idx="6">
                  <c:v>Health</c:v>
                </c:pt>
                <c:pt idx="7">
                  <c:v>Others</c:v>
                </c:pt>
              </c:strCache>
            </c:strRef>
          </c:cat>
          <c:val>
            <c:numRef>
              <c:f>'Q1 Category'!$B$4:$B$11</c:f>
              <c:numCache>
                <c:formatCode>General</c:formatCode>
                <c:ptCount val="8"/>
                <c:pt idx="0">
                  <c:v>63</c:v>
                </c:pt>
                <c:pt idx="1">
                  <c:v>35</c:v>
                </c:pt>
                <c:pt idx="2">
                  <c:v>30</c:v>
                </c:pt>
                <c:pt idx="3">
                  <c:v>28</c:v>
                </c:pt>
                <c:pt idx="4">
                  <c:v>21</c:v>
                </c:pt>
                <c:pt idx="5">
                  <c:v>19</c:v>
                </c:pt>
                <c:pt idx="6">
                  <c:v>14</c:v>
                </c:pt>
                <c:pt idx="7">
                  <c:v>7</c:v>
                </c:pt>
              </c:numCache>
            </c:numRef>
          </c:val>
        </c:ser>
        <c:gapWidth val="150"/>
        <c:overlap val="0"/>
        <c:axId val="54476611"/>
        <c:axId val="25071176"/>
      </c:barChart>
      <c:catAx>
        <c:axId val="5447661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071176"/>
        <c:crosses val="autoZero"/>
        <c:auto val="1"/>
        <c:lblAlgn val="ctr"/>
        <c:lblOffset val="100"/>
        <c:noMultiLvlLbl val="0"/>
      </c:catAx>
      <c:valAx>
        <c:axId val="2507117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4766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Requests per Month (Apr–Sep 2026)</a:t>
            </a:r>
          </a:p>
        </c:rich>
      </c:tx>
      <c:overlay val="0"/>
      <c:spPr>
        <a:noFill/>
        <a:ln w="0">
          <a:noFill/>
        </a:ln>
      </c:spPr>
    </c:title>
    <c:autoTitleDeleted val="0"/>
    <c:plotArea>
      <c:lineChart>
        <c:grouping val="standard"/>
        <c:varyColors val="0"/>
        <c:ser>
          <c:idx val="0"/>
          <c:order val="0"/>
          <c:tx>
            <c:strRef>
              <c:f>'Q2 Monthly'!C3</c:f>
              <c:strCache>
                <c:ptCount val="1"/>
                <c:pt idx="0">
                  <c:v>Total requests</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'Q2 Monthly'!$B$4:$B$9</c:f>
              <c:strCache>
                <c:ptCount val="6"/>
                <c:pt idx="0">
                  <c:v>Apr 2026</c:v>
                </c:pt>
                <c:pt idx="1">
                  <c:v>May 2026</c:v>
                </c:pt>
                <c:pt idx="2">
                  <c:v>Jun 2026</c:v>
                </c:pt>
                <c:pt idx="3">
                  <c:v>Jul 2026</c:v>
                </c:pt>
                <c:pt idx="4">
                  <c:v>Aug 2026</c:v>
                </c:pt>
                <c:pt idx="5">
                  <c:v>Sep 2026</c:v>
                </c:pt>
              </c:strCache>
            </c:strRef>
          </c:cat>
          <c:val>
            <c:numRef>
              <c:f>'Q2 Monthly'!$C$4:$C$9</c:f>
              <c:numCache>
                <c:formatCode>General</c:formatCode>
                <c:ptCount val="6"/>
                <c:pt idx="0">
                  <c:v>28</c:v>
                </c:pt>
                <c:pt idx="1">
                  <c:v>28</c:v>
                </c:pt>
                <c:pt idx="2">
                  <c:v>33</c:v>
                </c:pt>
                <c:pt idx="3">
                  <c:v>49</c:v>
                </c:pt>
                <c:pt idx="4">
                  <c:v>38</c:v>
                </c:pt>
                <c:pt idx="5">
                  <c:v>41</c:v>
                </c:pt>
              </c:numCache>
            </c:numRef>
          </c:val>
          <c:smooth val="0"/>
        </c:ser>
        <c:ser>
          <c:idx val="1"/>
          <c:order val="1"/>
          <c:tx>
            <c:strRef>
              <c:f>'Q2 Monthly'!G3</c:f>
              <c:strCache>
                <c:ptCount val="1"/>
                <c:pt idx="0">
                  <c:v>Rain-related total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'Q2 Monthly'!$B$4:$B$9</c:f>
              <c:strCache>
                <c:ptCount val="6"/>
                <c:pt idx="0">
                  <c:v>Apr 2026</c:v>
                </c:pt>
                <c:pt idx="1">
                  <c:v>May 2026</c:v>
                </c:pt>
                <c:pt idx="2">
                  <c:v>Jun 2026</c:v>
                </c:pt>
                <c:pt idx="3">
                  <c:v>Jul 2026</c:v>
                </c:pt>
                <c:pt idx="4">
                  <c:v>Aug 2026</c:v>
                </c:pt>
                <c:pt idx="5">
                  <c:v>Sep 2026</c:v>
                </c:pt>
              </c:strCache>
            </c:strRef>
          </c:cat>
          <c:val>
            <c:numRef>
              <c:f>'Q2 Monthly'!$G$4:$G$9</c:f>
              <c:numCache>
                <c:formatCode>General</c:formatCode>
                <c:ptCount val="6"/>
                <c:pt idx="0">
                  <c:v>9</c:v>
                </c:pt>
                <c:pt idx="1">
                  <c:v>10</c:v>
                </c:pt>
                <c:pt idx="2">
                  <c:v>14</c:v>
                </c:pt>
                <c:pt idx="3">
                  <c:v>27</c:v>
                </c:pt>
                <c:pt idx="4">
                  <c:v>21</c:v>
                </c:pt>
                <c:pt idx="5">
                  <c:v>24</c:v>
                </c:pt>
              </c:numCache>
            </c:numRef>
          </c:val>
          <c:smooth val="0"/>
        </c:ser>
        <c:hiLowLines>
          <c:spPr>
            <a:ln w="0">
              <a:noFill/>
            </a:ln>
          </c:spPr>
        </c:hiLowLines>
        <c:marker val="0"/>
        <c:axId val="72299967"/>
        <c:axId val="47590973"/>
      </c:lineChart>
      <c:catAx>
        <c:axId val="722999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90973"/>
        <c:crosses val="autoZero"/>
        <c:auto val="1"/>
        <c:lblAlgn val="ctr"/>
        <c:lblOffset val="100"/>
        <c:noMultiLvlLbl val="0"/>
      </c:catAx>
      <c:valAx>
        <c:axId val="475909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Requests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2999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Requests per Zone: Total vs Garbage</a:t>
            </a:r>
          </a:p>
        </c:rich>
      </c:tx>
      <c:overlay val="0"/>
      <c:spPr>
        <a:noFill/>
        <a:ln w="0">
          <a:noFill/>
        </a:ln>
      </c:spPr>
    </c:title>
    <c:autoTitleDeleted val="0"/>
    <c:plotArea>
      <c:barChart>
        <c:barDir val="col"/>
        <c:grouping val="clustered"/>
        <c:varyColors val="0"/>
        <c:ser>
          <c:idx val="0"/>
          <c:order val="0"/>
          <c:tx>
            <c:strRef>
              <c:f>'Q3 Zone'!B3</c:f>
              <c:strCache>
                <c:ptCount val="1"/>
                <c:pt idx="0">
                  <c:v>Total requests</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'Q3 Zone'!$A$4:$A$9</c:f>
              <c:strCache>
                <c:ptCount val="6"/>
                <c:pt idx="0">
                  <c:v>Zone 1</c:v>
                </c:pt>
                <c:pt idx="1">
                  <c:v>Zone 2</c:v>
                </c:pt>
                <c:pt idx="2">
                  <c:v>Zone 3</c:v>
                </c:pt>
                <c:pt idx="3">
                  <c:v>Zone 4</c:v>
                </c:pt>
                <c:pt idx="4">
                  <c:v>Zone 5</c:v>
                </c:pt>
                <c:pt idx="5">
                  <c:v>Zone 6</c:v>
                </c:pt>
              </c:strCache>
            </c:strRef>
          </c:cat>
          <c:val>
            <c:numRef>
              <c:f>'Q3 Zone'!$B$4:$B$9</c:f>
              <c:numCache>
                <c:formatCode>General</c:formatCode>
                <c:ptCount val="6"/>
                <c:pt idx="0">
                  <c:v>29</c:v>
                </c:pt>
                <c:pt idx="1">
                  <c:v>29</c:v>
                </c:pt>
                <c:pt idx="2">
                  <c:v>53</c:v>
                </c:pt>
                <c:pt idx="3">
                  <c:v>38</c:v>
                </c:pt>
                <c:pt idx="4">
                  <c:v>31</c:v>
                </c:pt>
                <c:pt idx="5">
                  <c:v>37</c:v>
                </c:pt>
              </c:numCache>
            </c:numRef>
          </c:val>
        </c:ser>
        <c:ser>
          <c:idx val="1"/>
          <c:order val="1"/>
          <c:tx>
            <c:strRef>
              <c:f>'Q3 Zone'!C3</c:f>
              <c:strCache>
                <c:ptCount val="1"/>
                <c:pt idx="0">
                  <c:v>Garbage / Sanitation</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'Q3 Zone'!$A$4:$A$9</c:f>
              <c:strCache>
                <c:ptCount val="6"/>
                <c:pt idx="0">
                  <c:v>Zone 1</c:v>
                </c:pt>
                <c:pt idx="1">
                  <c:v>Zone 2</c:v>
                </c:pt>
                <c:pt idx="2">
                  <c:v>Zone 3</c:v>
                </c:pt>
                <c:pt idx="3">
                  <c:v>Zone 4</c:v>
                </c:pt>
                <c:pt idx="4">
                  <c:v>Zone 5</c:v>
                </c:pt>
                <c:pt idx="5">
                  <c:v>Zone 6</c:v>
                </c:pt>
              </c:strCache>
            </c:strRef>
          </c:cat>
          <c:val>
            <c:numRef>
              <c:f>'Q3 Zone'!$C$4:$C$9</c:f>
              <c:numCache>
                <c:formatCode>General</c:formatCode>
                <c:ptCount val="6"/>
                <c:pt idx="0">
                  <c:v>9</c:v>
                </c:pt>
                <c:pt idx="1">
                  <c:v>5</c:v>
                </c:pt>
                <c:pt idx="2">
                  <c:v>27</c:v>
                </c:pt>
                <c:pt idx="3">
                  <c:v>8</c:v>
                </c:pt>
                <c:pt idx="4">
                  <c:v>6</c:v>
                </c:pt>
                <c:pt idx="5">
                  <c:v>8</c:v>
                </c:pt>
              </c:numCache>
            </c:numRef>
          </c:val>
        </c:ser>
        <c:gapWidth val="150"/>
        <c:overlap val="0"/>
        <c:axId val="41988635"/>
        <c:axId val="51345984"/>
      </c:barChart>
      <c:catAx>
        <c:axId val="419886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45984"/>
        <c:crosses val="autoZero"/>
        <c:auto val="1"/>
        <c:lblAlgn val="ctr"/>
        <c:lblOffset val="100"/>
        <c:noMultiLvlLbl val="0"/>
      </c:catAx>
      <c:valAx>
        <c:axId val="5134598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886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Days to Resolve by Category</a:t>
            </a:r>
          </a:p>
        </c:rich>
      </c:tx>
      <c:overlay val="0"/>
      <c:spPr>
        <a:noFill/>
        <a:ln w="0">
          <a:noFill/>
        </a:ln>
      </c:spPr>
    </c:title>
    <c:autoTitleDeleted val="0"/>
    <c:plotArea>
      <c:barChart>
        <c:barDir val="bar"/>
        <c:grouping val="clustered"/>
        <c:varyColors val="0"/>
        <c:ser>
          <c:idx val="0"/>
          <c:order val="0"/>
          <c:tx>
            <c:strRef>
              <c:f>'Q4 Resolution'!C3</c:f>
              <c:strCache>
                <c:ptCount val="1"/>
                <c:pt idx="0">
                  <c:v>Average days to resolve</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'Q4 Resolution'!$A$4:$A$11</c:f>
              <c:strCache>
                <c:ptCount val="8"/>
                <c:pt idx="0">
                  <c:v>Road / Infrastructure</c:v>
                </c:pt>
                <c:pt idx="1">
                  <c:v>Streetlight / Electrical</c:v>
                </c:pt>
                <c:pt idx="2">
                  <c:v>Others</c:v>
                </c:pt>
                <c:pt idx="3">
                  <c:v>Garbage / Sanitation</c:v>
                </c:pt>
                <c:pt idx="4">
                  <c:v>Water Supply</c:v>
                </c:pt>
                <c:pt idx="5">
                  <c:v>Health</c:v>
                </c:pt>
                <c:pt idx="6">
                  <c:v>Peace and Order</c:v>
                </c:pt>
                <c:pt idx="7">
                  <c:v>Documents / Certificates</c:v>
                </c:pt>
              </c:strCache>
            </c:strRef>
          </c:cat>
          <c:val>
            <c:numRef>
              <c:f>'Q4 Resolution'!$C$4:$C$11</c:f>
              <c:numCache>
                <c:formatCode>0.0</c:formatCode>
                <c:ptCount val="8"/>
                <c:pt idx="0">
                  <c:v>17.1538461538462</c:v>
                </c:pt>
                <c:pt idx="1">
                  <c:v>7.21428571428571</c:v>
                </c:pt>
                <c:pt idx="2">
                  <c:v>5.5</c:v>
                </c:pt>
                <c:pt idx="3">
                  <c:v>5.47368421052632</c:v>
                </c:pt>
                <c:pt idx="4">
                  <c:v>4.70588235294118</c:v>
                </c:pt>
                <c:pt idx="5">
                  <c:v>3.30769230769231</c:v>
                </c:pt>
                <c:pt idx="6">
                  <c:v>2.1875</c:v>
                </c:pt>
                <c:pt idx="7">
                  <c:v>2</c:v>
                </c:pt>
              </c:numCache>
            </c:numRef>
          </c:val>
        </c:ser>
        <c:gapWidth val="150"/>
        <c:overlap val="0"/>
        <c:axId val="24065158"/>
        <c:axId val="656077"/>
      </c:barChart>
      <c:catAx>
        <c:axId val="2406515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6077"/>
        <c:crosses val="autoZero"/>
        <c:auto val="1"/>
        <c:lblAlgn val="ctr"/>
        <c:lblOffset val="100"/>
        <c:noMultiLvlLbl val="0"/>
      </c:catAx>
      <c:valAx>
        <c:axId val="656077"/>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651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Satisfaction by Resolution Time</a:t>
            </a:r>
          </a:p>
        </c:rich>
      </c:tx>
      <c:overlay val="0"/>
      <c:spPr>
        <a:noFill/>
        <a:ln w="0">
          <a:noFill/>
        </a:ln>
      </c:spPr>
    </c:title>
    <c:autoTitleDeleted val="0"/>
    <c:plotArea>
      <c:barChart>
        <c:barDir val="col"/>
        <c:grouping val="clustered"/>
        <c:varyColors val="0"/>
        <c:ser>
          <c:idx val="0"/>
          <c:order val="0"/>
          <c:tx>
            <c:strRef>
              <c:f>'Q5 Satisfaction'!E3</c:f>
              <c:strCache>
                <c:ptCount val="1"/>
                <c:pt idx="0">
                  <c:v>Average rating (1–5)</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'Q5 Satisfaction'!$A$4:$A$7</c:f>
              <c:strCache>
                <c:ptCount val="4"/>
                <c:pt idx="0">
                  <c:v>1–3 days</c:v>
                </c:pt>
                <c:pt idx="1">
                  <c:v>4–7 days</c:v>
                </c:pt>
                <c:pt idx="2">
                  <c:v>8–14 days</c:v>
                </c:pt>
                <c:pt idx="3">
                  <c:v>15+ days</c:v>
                </c:pt>
              </c:strCache>
            </c:strRef>
          </c:cat>
          <c:val>
            <c:numRef>
              <c:f>'Q5 Satisfaction'!$E$4:$E$7</c:f>
              <c:numCache>
                <c:formatCode>0.00</c:formatCode>
                <c:ptCount val="4"/>
                <c:pt idx="0">
                  <c:v>3.20512820512821</c:v>
                </c:pt>
                <c:pt idx="1">
                  <c:v>3.16129032258065</c:v>
                </c:pt>
                <c:pt idx="2">
                  <c:v>3.09756097560976</c:v>
                </c:pt>
                <c:pt idx="3">
                  <c:v>2.5</c:v>
                </c:pt>
              </c:numCache>
            </c:numRef>
          </c:val>
        </c:ser>
        <c:gapWidth val="150"/>
        <c:overlap val="0"/>
        <c:axId val="59172025"/>
        <c:axId val="80801257"/>
      </c:barChart>
      <c:catAx>
        <c:axId val="591720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01257"/>
        <c:crosses val="autoZero"/>
        <c:auto val="1"/>
        <c:lblAlgn val="ctr"/>
        <c:lblOffset val="100"/>
        <c:noMultiLvlLbl val="0"/>
      </c:catAx>
      <c:valAx>
        <c:axId val="80801257"/>
        <c:scaling>
          <c:orientation val="minMax"/>
          <c:max val="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Average rating (1–5)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720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
</Relationships>
</file>

<file path=xl/drawings/_rels/drawing6.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160560</xdr:rowOff>
    </xdr:from>
    <xdr:to>
      <xdr:col>13</xdr:col>
      <xdr:colOff>256320</xdr:colOff>
      <xdr:row>18</xdr:row>
      <xdr:rowOff>161640</xdr:rowOff>
    </xdr:to>
    <xdr:graphicFrame>
      <xdr:nvGraphicFramePr>
        <xdr:cNvPr id="0" name="Chart 1"/>
        <xdr:cNvGraphicFramePr/>
      </xdr:nvGraphicFramePr>
      <xdr:xfrm>
        <a:off x="434736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19</xdr:col>
      <xdr:colOff>364680</xdr:colOff>
      <xdr:row>18</xdr:row>
      <xdr:rowOff>11160</xdr:rowOff>
    </xdr:to>
    <xdr:graphicFrame>
      <xdr:nvGraphicFramePr>
        <xdr:cNvPr id="1" name="Chart 1"/>
        <xdr:cNvGraphicFramePr/>
      </xdr:nvGraphicFramePr>
      <xdr:xfrm>
        <a:off x="9704160" y="3808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15</xdr:col>
      <xdr:colOff>255960</xdr:colOff>
      <xdr:row>18</xdr:row>
      <xdr:rowOff>11160</xdr:rowOff>
    </xdr:to>
    <xdr:graphicFrame>
      <xdr:nvGraphicFramePr>
        <xdr:cNvPr id="2" name="Chart 1"/>
        <xdr:cNvGraphicFramePr/>
      </xdr:nvGraphicFramePr>
      <xdr:xfrm>
        <a:off x="688464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160560</xdr:rowOff>
    </xdr:from>
    <xdr:to>
      <xdr:col>14</xdr:col>
      <xdr:colOff>256320</xdr:colOff>
      <xdr:row>18</xdr:row>
      <xdr:rowOff>11160</xdr:rowOff>
    </xdr:to>
    <xdr:graphicFrame>
      <xdr:nvGraphicFramePr>
        <xdr:cNvPr id="3" name="Chart 1"/>
        <xdr:cNvGraphicFramePr/>
      </xdr:nvGraphicFramePr>
      <xdr:xfrm>
        <a:off x="632088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14</xdr:col>
      <xdr:colOff>507600</xdr:colOff>
      <xdr:row>18</xdr:row>
      <xdr:rowOff>11160</xdr:rowOff>
    </xdr:to>
    <xdr:graphicFrame>
      <xdr:nvGraphicFramePr>
        <xdr:cNvPr id="4" name="Chart 1"/>
        <xdr:cNvGraphicFramePr/>
      </xdr:nvGraphicFramePr>
      <xdr:xfrm>
        <a:off x="6250320" y="38088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6.85" hidden="false" customHeight="false" outlineLevel="0" collapsed="false">
      <c r="A4" s="3" t="s">
        <v>2</v>
      </c>
    </row>
    <row r="5" customFormat="false" ht="15" hidden="false" customHeight="false" outlineLevel="0" collapsed="false">
      <c r="A5" s="3"/>
    </row>
    <row r="6" customFormat="false" ht="15" hidden="false" customHeight="false" outlineLevel="0" collapsed="false">
      <c r="A6" s="2" t="s">
        <v>3</v>
      </c>
    </row>
    <row r="7" customFormat="false" ht="26.85" hidden="false" customHeight="false" outlineLevel="0" collapsed="false">
      <c r="A7" s="3" t="s">
        <v>4</v>
      </c>
    </row>
    <row r="8" customFormat="false" ht="15" hidden="false" customHeight="false" outlineLevel="0" collapsed="false">
      <c r="A8" s="3"/>
    </row>
    <row r="9" customFormat="false" ht="15" hidden="false" customHeight="false" outlineLevel="0" collapsed="false">
      <c r="A9" s="2" t="s">
        <v>5</v>
      </c>
    </row>
    <row r="10" customFormat="false" ht="15" hidden="false" customHeight="false" outlineLevel="0" collapsed="false">
      <c r="A10" s="3" t="s">
        <v>6</v>
      </c>
    </row>
    <row r="11" customFormat="false" ht="15" hidden="false" customHeight="false" outlineLevel="0" collapsed="false">
      <c r="A11" s="3"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row>
    <row r="20" customFormat="false" ht="15" hidden="false" customHeight="false" outlineLevel="0" collapsed="false">
      <c r="A20" s="2" t="s">
        <v>15</v>
      </c>
    </row>
    <row r="21" customFormat="false" ht="15" hidden="false" customHeight="false" outlineLevel="0" collapsed="false">
      <c r="A21" s="3" t="s">
        <v>16</v>
      </c>
    </row>
    <row r="22" customFormat="false" ht="15" hidden="false" customHeight="false" outlineLevel="0" collapsed="false">
      <c r="A22" s="3"/>
    </row>
    <row r="23" customFormat="false" ht="26.85" hidden="false" customHeight="false" outlineLevel="0" collapsed="false">
      <c r="A23" s="3" t="s">
        <v>17</v>
      </c>
    </row>
    <row r="24" customFormat="false" ht="26.85" hidden="false" customHeight="false" outlineLevel="0" collapsed="false">
      <c r="A24"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0"/>
    <col collapsed="false" customWidth="true" hidden="false" outlineLevel="0" max="4" min="4" style="0" width="26"/>
    <col collapsed="false" customWidth="true" hidden="false" outlineLevel="0" max="5" min="5" style="0" width="13"/>
    <col collapsed="false" customWidth="true" hidden="false" outlineLevel="0" max="6" min="6" style="0" width="15"/>
    <col collapsed="false" customWidth="true" hidden="false" outlineLevel="0" max="7" min="7" style="0" width="16"/>
    <col collapsed="false" customWidth="true" hidden="false" outlineLevel="0" max="8" min="8" style="0" width="19"/>
    <col collapsed="false" customWidth="true" hidden="false" outlineLevel="0" max="9" min="9" style="0" width="10"/>
  </cols>
  <sheetData>
    <row r="1" customFormat="false" ht="15" hidden="false" customHeight="false" outlineLevel="0" collapsed="false">
      <c r="A1" s="5" t="s">
        <v>19</v>
      </c>
      <c r="B1" s="5" t="s">
        <v>20</v>
      </c>
      <c r="C1" s="5" t="s">
        <v>21</v>
      </c>
      <c r="D1" s="5" t="s">
        <v>22</v>
      </c>
      <c r="E1" s="5" t="s">
        <v>23</v>
      </c>
      <c r="F1" s="5" t="s">
        <v>24</v>
      </c>
      <c r="G1" s="5" t="s">
        <v>25</v>
      </c>
      <c r="H1" s="5" t="s">
        <v>26</v>
      </c>
      <c r="I1" s="5" t="s">
        <v>27</v>
      </c>
    </row>
    <row r="2" customFormat="false" ht="15" hidden="false" customHeight="false" outlineLevel="0" collapsed="false">
      <c r="A2" s="6" t="s">
        <v>28</v>
      </c>
      <c r="B2" s="7" t="n">
        <v>46114</v>
      </c>
      <c r="C2" s="6" t="s">
        <v>29</v>
      </c>
      <c r="D2" s="6" t="s">
        <v>30</v>
      </c>
      <c r="E2" s="6" t="s">
        <v>31</v>
      </c>
      <c r="F2" s="7"/>
      <c r="G2" s="6"/>
      <c r="H2" s="6"/>
      <c r="I2" s="6" t="str">
        <f aca="false">TEXT(B2,"YYYY-MM")</f>
        <v>2026-04</v>
      </c>
    </row>
    <row r="3" customFormat="false" ht="15" hidden="false" customHeight="false" outlineLevel="0" collapsed="false">
      <c r="A3" s="6" t="s">
        <v>32</v>
      </c>
      <c r="B3" s="7" t="n">
        <v>46115</v>
      </c>
      <c r="C3" s="6" t="s">
        <v>29</v>
      </c>
      <c r="D3" s="6" t="s">
        <v>33</v>
      </c>
      <c r="E3" s="6" t="s">
        <v>34</v>
      </c>
      <c r="F3" s="7" t="n">
        <v>46119</v>
      </c>
      <c r="G3" s="6" t="n">
        <v>4</v>
      </c>
      <c r="H3" s="6" t="n">
        <v>3</v>
      </c>
      <c r="I3" s="6" t="str">
        <f aca="false">TEXT(B3,"YYYY-MM")</f>
        <v>2026-04</v>
      </c>
    </row>
    <row r="4" customFormat="false" ht="15" hidden="false" customHeight="false" outlineLevel="0" collapsed="false">
      <c r="A4" s="6" t="s">
        <v>35</v>
      </c>
      <c r="B4" s="7" t="n">
        <v>46116</v>
      </c>
      <c r="C4" s="6" t="s">
        <v>29</v>
      </c>
      <c r="D4" s="6" t="s">
        <v>36</v>
      </c>
      <c r="E4" s="6" t="s">
        <v>34</v>
      </c>
      <c r="F4" s="7" t="n">
        <v>46117</v>
      </c>
      <c r="G4" s="6" t="n">
        <v>1</v>
      </c>
      <c r="H4" s="6" t="n">
        <v>2</v>
      </c>
      <c r="I4" s="6" t="str">
        <f aca="false">TEXT(B4,"YYYY-MM")</f>
        <v>2026-04</v>
      </c>
    </row>
    <row r="5" customFormat="false" ht="15" hidden="false" customHeight="false" outlineLevel="0" collapsed="false">
      <c r="A5" s="6" t="s">
        <v>37</v>
      </c>
      <c r="B5" s="7" t="n">
        <v>46117</v>
      </c>
      <c r="C5" s="6" t="s">
        <v>38</v>
      </c>
      <c r="D5" s="6" t="s">
        <v>36</v>
      </c>
      <c r="E5" s="6" t="s">
        <v>34</v>
      </c>
      <c r="F5" s="7" t="n">
        <v>46120</v>
      </c>
      <c r="G5" s="6" t="n">
        <v>3</v>
      </c>
      <c r="H5" s="6" t="n">
        <v>2</v>
      </c>
      <c r="I5" s="6" t="str">
        <f aca="false">TEXT(B5,"YYYY-MM")</f>
        <v>2026-04</v>
      </c>
    </row>
    <row r="6" customFormat="false" ht="15" hidden="false" customHeight="false" outlineLevel="0" collapsed="false">
      <c r="A6" s="6" t="s">
        <v>39</v>
      </c>
      <c r="B6" s="7" t="n">
        <v>46118</v>
      </c>
      <c r="C6" s="6" t="s">
        <v>40</v>
      </c>
      <c r="D6" s="6" t="s">
        <v>41</v>
      </c>
      <c r="E6" s="6" t="s">
        <v>34</v>
      </c>
      <c r="F6" s="7" t="n">
        <v>46126</v>
      </c>
      <c r="G6" s="6" t="n">
        <v>8</v>
      </c>
      <c r="H6" s="6" t="n">
        <v>5</v>
      </c>
      <c r="I6" s="6" t="str">
        <f aca="false">TEXT(B6,"YYYY-MM")</f>
        <v>2026-04</v>
      </c>
    </row>
    <row r="7" customFormat="false" ht="15" hidden="false" customHeight="false" outlineLevel="0" collapsed="false">
      <c r="A7" s="6" t="s">
        <v>42</v>
      </c>
      <c r="B7" s="7" t="n">
        <v>46119</v>
      </c>
      <c r="C7" s="6" t="s">
        <v>43</v>
      </c>
      <c r="D7" s="6" t="s">
        <v>44</v>
      </c>
      <c r="E7" s="6" t="s">
        <v>34</v>
      </c>
      <c r="F7" s="7" t="n">
        <v>46120</v>
      </c>
      <c r="G7" s="6" t="n">
        <v>1</v>
      </c>
      <c r="H7" s="6" t="n">
        <v>3</v>
      </c>
      <c r="I7" s="6" t="str">
        <f aca="false">TEXT(B7,"YYYY-MM")</f>
        <v>2026-04</v>
      </c>
    </row>
    <row r="8" customFormat="false" ht="15" hidden="false" customHeight="false" outlineLevel="0" collapsed="false">
      <c r="A8" s="6" t="s">
        <v>45</v>
      </c>
      <c r="B8" s="7" t="n">
        <v>46119</v>
      </c>
      <c r="C8" s="6" t="s">
        <v>40</v>
      </c>
      <c r="D8" s="6" t="s">
        <v>46</v>
      </c>
      <c r="E8" s="6" t="s">
        <v>34</v>
      </c>
      <c r="F8" s="7" t="n">
        <v>46144</v>
      </c>
      <c r="G8" s="6" t="n">
        <v>25</v>
      </c>
      <c r="H8" s="6" t="n">
        <v>4</v>
      </c>
      <c r="I8" s="6" t="str">
        <f aca="false">TEXT(B8,"YYYY-MM")</f>
        <v>2026-04</v>
      </c>
    </row>
    <row r="9" customFormat="false" ht="15" hidden="false" customHeight="false" outlineLevel="0" collapsed="false">
      <c r="A9" s="6" t="s">
        <v>47</v>
      </c>
      <c r="B9" s="7" t="n">
        <v>46120</v>
      </c>
      <c r="C9" s="6" t="s">
        <v>29</v>
      </c>
      <c r="D9" s="6" t="s">
        <v>41</v>
      </c>
      <c r="E9" s="6" t="s">
        <v>34</v>
      </c>
      <c r="F9" s="7" t="n">
        <v>46129</v>
      </c>
      <c r="G9" s="6" t="n">
        <v>9</v>
      </c>
      <c r="H9" s="6" t="n">
        <v>3</v>
      </c>
      <c r="I9" s="6" t="str">
        <f aca="false">TEXT(B9,"YYYY-MM")</f>
        <v>2026-04</v>
      </c>
    </row>
    <row r="10" customFormat="false" ht="15" hidden="false" customHeight="false" outlineLevel="0" collapsed="false">
      <c r="A10" s="6" t="s">
        <v>48</v>
      </c>
      <c r="B10" s="7" t="n">
        <v>46122</v>
      </c>
      <c r="C10" s="6" t="s">
        <v>43</v>
      </c>
      <c r="D10" s="6" t="s">
        <v>30</v>
      </c>
      <c r="E10" s="6" t="s">
        <v>34</v>
      </c>
      <c r="F10" s="7" t="n">
        <v>46128</v>
      </c>
      <c r="G10" s="6" t="n">
        <v>6</v>
      </c>
      <c r="H10" s="6" t="n">
        <v>2</v>
      </c>
      <c r="I10" s="6" t="str">
        <f aca="false">TEXT(B10,"YYYY-MM")</f>
        <v>2026-04</v>
      </c>
    </row>
    <row r="11" customFormat="false" ht="15" hidden="false" customHeight="false" outlineLevel="0" collapsed="false">
      <c r="A11" s="6" t="s">
        <v>49</v>
      </c>
      <c r="B11" s="7" t="n">
        <v>46123</v>
      </c>
      <c r="C11" s="6" t="s">
        <v>29</v>
      </c>
      <c r="D11" s="6" t="s">
        <v>41</v>
      </c>
      <c r="E11" s="6" t="s">
        <v>34</v>
      </c>
      <c r="F11" s="7" t="n">
        <v>46133</v>
      </c>
      <c r="G11" s="6" t="n">
        <v>10</v>
      </c>
      <c r="H11" s="6" t="n">
        <v>4</v>
      </c>
      <c r="I11" s="6" t="str">
        <f aca="false">TEXT(B11,"YYYY-MM")</f>
        <v>2026-04</v>
      </c>
    </row>
    <row r="12" customFormat="false" ht="15" hidden="false" customHeight="false" outlineLevel="0" collapsed="false">
      <c r="A12" s="6" t="s">
        <v>50</v>
      </c>
      <c r="B12" s="7" t="n">
        <v>46123</v>
      </c>
      <c r="C12" s="6" t="s">
        <v>43</v>
      </c>
      <c r="D12" s="6" t="s">
        <v>30</v>
      </c>
      <c r="E12" s="6" t="s">
        <v>34</v>
      </c>
      <c r="F12" s="7" t="n">
        <v>46131</v>
      </c>
      <c r="G12" s="6" t="n">
        <v>8</v>
      </c>
      <c r="H12" s="6" t="n">
        <v>3</v>
      </c>
      <c r="I12" s="6" t="str">
        <f aca="false">TEXT(B12,"YYYY-MM")</f>
        <v>2026-04</v>
      </c>
    </row>
    <row r="13" customFormat="false" ht="15" hidden="false" customHeight="false" outlineLevel="0" collapsed="false">
      <c r="A13" s="6" t="s">
        <v>51</v>
      </c>
      <c r="B13" s="7" t="n">
        <v>46125</v>
      </c>
      <c r="C13" s="6" t="s">
        <v>52</v>
      </c>
      <c r="D13" s="6" t="s">
        <v>46</v>
      </c>
      <c r="E13" s="6" t="s">
        <v>34</v>
      </c>
      <c r="F13" s="7" t="n">
        <v>46139</v>
      </c>
      <c r="G13" s="6" t="n">
        <v>14</v>
      </c>
      <c r="H13" s="6" t="n">
        <v>2</v>
      </c>
      <c r="I13" s="6" t="str">
        <f aca="false">TEXT(B13,"YYYY-MM")</f>
        <v>2026-04</v>
      </c>
    </row>
    <row r="14" customFormat="false" ht="15" hidden="false" customHeight="false" outlineLevel="0" collapsed="false">
      <c r="A14" s="6" t="s">
        <v>53</v>
      </c>
      <c r="B14" s="7" t="n">
        <v>46125</v>
      </c>
      <c r="C14" s="6" t="s">
        <v>43</v>
      </c>
      <c r="D14" s="6" t="s">
        <v>44</v>
      </c>
      <c r="E14" s="6" t="s">
        <v>34</v>
      </c>
      <c r="F14" s="7" t="n">
        <v>46128</v>
      </c>
      <c r="G14" s="6" t="n">
        <v>3</v>
      </c>
      <c r="H14" s="6" t="n">
        <v>3</v>
      </c>
      <c r="I14" s="6" t="str">
        <f aca="false">TEXT(B14,"YYYY-MM")</f>
        <v>2026-04</v>
      </c>
    </row>
    <row r="15" customFormat="false" ht="15" hidden="false" customHeight="false" outlineLevel="0" collapsed="false">
      <c r="A15" s="6" t="s">
        <v>54</v>
      </c>
      <c r="B15" s="7" t="n">
        <v>46126</v>
      </c>
      <c r="C15" s="6" t="s">
        <v>29</v>
      </c>
      <c r="D15" s="6" t="s">
        <v>30</v>
      </c>
      <c r="E15" s="6" t="s">
        <v>34</v>
      </c>
      <c r="F15" s="7" t="n">
        <v>46133</v>
      </c>
      <c r="G15" s="6" t="n">
        <v>7</v>
      </c>
      <c r="H15" s="6" t="n">
        <v>4</v>
      </c>
      <c r="I15" s="6" t="str">
        <f aca="false">TEXT(B15,"YYYY-MM")</f>
        <v>2026-04</v>
      </c>
    </row>
    <row r="16" customFormat="false" ht="15" hidden="false" customHeight="false" outlineLevel="0" collapsed="false">
      <c r="A16" s="6" t="s">
        <v>55</v>
      </c>
      <c r="B16" s="7" t="n">
        <v>46127</v>
      </c>
      <c r="C16" s="6" t="s">
        <v>43</v>
      </c>
      <c r="D16" s="6" t="s">
        <v>56</v>
      </c>
      <c r="E16" s="6" t="s">
        <v>34</v>
      </c>
      <c r="F16" s="7" t="n">
        <v>46129</v>
      </c>
      <c r="G16" s="6" t="n">
        <v>2</v>
      </c>
      <c r="H16" s="6" t="n">
        <v>4</v>
      </c>
      <c r="I16" s="6" t="str">
        <f aca="false">TEXT(B16,"YYYY-MM")</f>
        <v>2026-04</v>
      </c>
    </row>
    <row r="17" customFormat="false" ht="15" hidden="false" customHeight="false" outlineLevel="0" collapsed="false">
      <c r="A17" s="6" t="s">
        <v>57</v>
      </c>
      <c r="B17" s="7" t="n">
        <v>46128</v>
      </c>
      <c r="C17" s="6" t="s">
        <v>43</v>
      </c>
      <c r="D17" s="6" t="s">
        <v>58</v>
      </c>
      <c r="E17" s="6" t="s">
        <v>34</v>
      </c>
      <c r="F17" s="7" t="n">
        <v>46137</v>
      </c>
      <c r="G17" s="6" t="n">
        <v>9</v>
      </c>
      <c r="H17" s="6" t="n">
        <v>2</v>
      </c>
      <c r="I17" s="6" t="str">
        <f aca="false">TEXT(B17,"YYYY-MM")</f>
        <v>2026-04</v>
      </c>
    </row>
    <row r="18" customFormat="false" ht="15" hidden="false" customHeight="false" outlineLevel="0" collapsed="false">
      <c r="A18" s="6" t="s">
        <v>59</v>
      </c>
      <c r="B18" s="7" t="n">
        <v>46128</v>
      </c>
      <c r="C18" s="6" t="s">
        <v>38</v>
      </c>
      <c r="D18" s="6" t="s">
        <v>44</v>
      </c>
      <c r="E18" s="6" t="s">
        <v>34</v>
      </c>
      <c r="F18" s="7" t="n">
        <v>46132</v>
      </c>
      <c r="G18" s="6" t="n">
        <v>4</v>
      </c>
      <c r="H18" s="6" t="n">
        <v>3</v>
      </c>
      <c r="I18" s="6" t="str">
        <f aca="false">TEXT(B18,"YYYY-MM")</f>
        <v>2026-04</v>
      </c>
    </row>
    <row r="19" customFormat="false" ht="15" hidden="false" customHeight="false" outlineLevel="0" collapsed="false">
      <c r="A19" s="6" t="s">
        <v>60</v>
      </c>
      <c r="B19" s="7" t="n">
        <v>46130</v>
      </c>
      <c r="C19" s="6" t="s">
        <v>40</v>
      </c>
      <c r="D19" s="6" t="s">
        <v>41</v>
      </c>
      <c r="E19" s="6" t="s">
        <v>34</v>
      </c>
      <c r="F19" s="7" t="n">
        <v>46134</v>
      </c>
      <c r="G19" s="6" t="n">
        <v>4</v>
      </c>
      <c r="H19" s="6" t="n">
        <v>4</v>
      </c>
      <c r="I19" s="6" t="str">
        <f aca="false">TEXT(B19,"YYYY-MM")</f>
        <v>2026-04</v>
      </c>
    </row>
    <row r="20" customFormat="false" ht="15" hidden="false" customHeight="false" outlineLevel="0" collapsed="false">
      <c r="A20" s="6" t="s">
        <v>61</v>
      </c>
      <c r="B20" s="7" t="n">
        <v>46131</v>
      </c>
      <c r="C20" s="6" t="s">
        <v>40</v>
      </c>
      <c r="D20" s="6" t="s">
        <v>41</v>
      </c>
      <c r="E20" s="6" t="s">
        <v>31</v>
      </c>
      <c r="F20" s="7"/>
      <c r="G20" s="6"/>
      <c r="H20" s="6"/>
      <c r="I20" s="6" t="str">
        <f aca="false">TEXT(B20,"YYYY-MM")</f>
        <v>2026-04</v>
      </c>
    </row>
    <row r="21" customFormat="false" ht="15" hidden="false" customHeight="false" outlineLevel="0" collapsed="false">
      <c r="A21" s="6" t="s">
        <v>62</v>
      </c>
      <c r="B21" s="7" t="n">
        <v>46131</v>
      </c>
      <c r="C21" s="6" t="s">
        <v>38</v>
      </c>
      <c r="D21" s="6" t="s">
        <v>36</v>
      </c>
      <c r="E21" s="6" t="s">
        <v>34</v>
      </c>
      <c r="F21" s="7" t="n">
        <v>46132</v>
      </c>
      <c r="G21" s="6" t="n">
        <v>1</v>
      </c>
      <c r="H21" s="6" t="n">
        <v>5</v>
      </c>
      <c r="I21" s="6" t="str">
        <f aca="false">TEXT(B21,"YYYY-MM")</f>
        <v>2026-04</v>
      </c>
    </row>
    <row r="22" customFormat="false" ht="15" hidden="false" customHeight="false" outlineLevel="0" collapsed="false">
      <c r="A22" s="6" t="s">
        <v>63</v>
      </c>
      <c r="B22" s="7" t="n">
        <v>46132</v>
      </c>
      <c r="C22" s="6" t="s">
        <v>29</v>
      </c>
      <c r="D22" s="6" t="s">
        <v>56</v>
      </c>
      <c r="E22" s="6" t="s">
        <v>34</v>
      </c>
      <c r="F22" s="7" t="n">
        <v>46140</v>
      </c>
      <c r="G22" s="6" t="n">
        <v>8</v>
      </c>
      <c r="H22" s="6" t="n">
        <v>4</v>
      </c>
      <c r="I22" s="6" t="str">
        <f aca="false">TEXT(B22,"YYYY-MM")</f>
        <v>2026-04</v>
      </c>
    </row>
    <row r="23" customFormat="false" ht="15" hidden="false" customHeight="false" outlineLevel="0" collapsed="false">
      <c r="A23" s="6" t="s">
        <v>64</v>
      </c>
      <c r="B23" s="7" t="n">
        <v>46135</v>
      </c>
      <c r="C23" s="6" t="s">
        <v>40</v>
      </c>
      <c r="D23" s="6" t="s">
        <v>30</v>
      </c>
      <c r="E23" s="6" t="s">
        <v>34</v>
      </c>
      <c r="F23" s="7" t="n">
        <v>46137</v>
      </c>
      <c r="G23" s="6" t="n">
        <v>2</v>
      </c>
      <c r="H23" s="6" t="n">
        <v>3</v>
      </c>
      <c r="I23" s="6" t="str">
        <f aca="false">TEXT(B23,"YYYY-MM")</f>
        <v>2026-04</v>
      </c>
    </row>
    <row r="24" customFormat="false" ht="15" hidden="false" customHeight="false" outlineLevel="0" collapsed="false">
      <c r="A24" s="6" t="s">
        <v>65</v>
      </c>
      <c r="B24" s="7" t="n">
        <v>46137</v>
      </c>
      <c r="C24" s="6" t="s">
        <v>38</v>
      </c>
      <c r="D24" s="6" t="s">
        <v>56</v>
      </c>
      <c r="E24" s="6" t="s">
        <v>34</v>
      </c>
      <c r="F24" s="7" t="n">
        <v>46143</v>
      </c>
      <c r="G24" s="6" t="n">
        <v>6</v>
      </c>
      <c r="H24" s="6" t="n">
        <v>3</v>
      </c>
      <c r="I24" s="6" t="str">
        <f aca="false">TEXT(B24,"YYYY-MM")</f>
        <v>2026-04</v>
      </c>
    </row>
    <row r="25" customFormat="false" ht="15" hidden="false" customHeight="false" outlineLevel="0" collapsed="false">
      <c r="A25" s="6" t="s">
        <v>66</v>
      </c>
      <c r="B25" s="7" t="n">
        <v>46137</v>
      </c>
      <c r="C25" s="6" t="s">
        <v>38</v>
      </c>
      <c r="D25" s="6" t="s">
        <v>56</v>
      </c>
      <c r="E25" s="6" t="s">
        <v>34</v>
      </c>
      <c r="F25" s="7" t="n">
        <v>46146</v>
      </c>
      <c r="G25" s="6" t="n">
        <v>9</v>
      </c>
      <c r="H25" s="6" t="n">
        <v>5</v>
      </c>
      <c r="I25" s="6" t="str">
        <f aca="false">TEXT(B25,"YYYY-MM")</f>
        <v>2026-04</v>
      </c>
    </row>
    <row r="26" customFormat="false" ht="15" hidden="false" customHeight="false" outlineLevel="0" collapsed="false">
      <c r="A26" s="6" t="s">
        <v>67</v>
      </c>
      <c r="B26" s="7" t="n">
        <v>46138</v>
      </c>
      <c r="C26" s="6" t="s">
        <v>38</v>
      </c>
      <c r="D26" s="6" t="s">
        <v>56</v>
      </c>
      <c r="E26" s="6" t="s">
        <v>34</v>
      </c>
      <c r="F26" s="7" t="n">
        <v>46144</v>
      </c>
      <c r="G26" s="6" t="n">
        <v>6</v>
      </c>
      <c r="H26" s="6" t="n">
        <v>3</v>
      </c>
      <c r="I26" s="6" t="str">
        <f aca="false">TEXT(B26,"YYYY-MM")</f>
        <v>2026-04</v>
      </c>
    </row>
    <row r="27" customFormat="false" ht="15" hidden="false" customHeight="false" outlineLevel="0" collapsed="false">
      <c r="A27" s="6" t="s">
        <v>68</v>
      </c>
      <c r="B27" s="7" t="n">
        <v>46138</v>
      </c>
      <c r="C27" s="6" t="s">
        <v>43</v>
      </c>
      <c r="D27" s="6" t="s">
        <v>33</v>
      </c>
      <c r="E27" s="6" t="s">
        <v>34</v>
      </c>
      <c r="F27" s="7" t="n">
        <v>46143</v>
      </c>
      <c r="G27" s="6" t="n">
        <v>5</v>
      </c>
      <c r="H27" s="6" t="n">
        <v>2</v>
      </c>
      <c r="I27" s="6" t="str">
        <f aca="false">TEXT(B27,"YYYY-MM")</f>
        <v>2026-04</v>
      </c>
    </row>
    <row r="28" customFormat="false" ht="15" hidden="false" customHeight="false" outlineLevel="0" collapsed="false">
      <c r="A28" s="6" t="s">
        <v>69</v>
      </c>
      <c r="B28" s="7" t="n">
        <v>46139</v>
      </c>
      <c r="C28" s="6" t="s">
        <v>70</v>
      </c>
      <c r="D28" s="6" t="s">
        <v>30</v>
      </c>
      <c r="E28" s="6" t="s">
        <v>31</v>
      </c>
      <c r="F28" s="7"/>
      <c r="G28" s="6"/>
      <c r="H28" s="6"/>
      <c r="I28" s="6" t="str">
        <f aca="false">TEXT(B28,"YYYY-MM")</f>
        <v>2026-04</v>
      </c>
    </row>
    <row r="29" customFormat="false" ht="15" hidden="false" customHeight="false" outlineLevel="0" collapsed="false">
      <c r="A29" s="6" t="s">
        <v>71</v>
      </c>
      <c r="B29" s="7" t="n">
        <v>46140</v>
      </c>
      <c r="C29" s="6" t="s">
        <v>52</v>
      </c>
      <c r="D29" s="6" t="s">
        <v>36</v>
      </c>
      <c r="E29" s="6" t="s">
        <v>34</v>
      </c>
      <c r="F29" s="7" t="n">
        <v>46142</v>
      </c>
      <c r="G29" s="6" t="n">
        <v>2</v>
      </c>
      <c r="H29" s="6" t="n">
        <v>4</v>
      </c>
      <c r="I29" s="6" t="str">
        <f aca="false">TEXT(B29,"YYYY-MM")</f>
        <v>2026-04</v>
      </c>
    </row>
    <row r="30" customFormat="false" ht="15" hidden="false" customHeight="false" outlineLevel="0" collapsed="false">
      <c r="A30" s="6" t="s">
        <v>72</v>
      </c>
      <c r="B30" s="7" t="n">
        <v>46143</v>
      </c>
      <c r="C30" s="6" t="s">
        <v>43</v>
      </c>
      <c r="D30" s="6" t="s">
        <v>46</v>
      </c>
      <c r="E30" s="6" t="s">
        <v>34</v>
      </c>
      <c r="F30" s="7" t="n">
        <v>46164</v>
      </c>
      <c r="G30" s="6" t="n">
        <v>21</v>
      </c>
      <c r="H30" s="6" t="n">
        <v>1</v>
      </c>
      <c r="I30" s="6" t="str">
        <f aca="false">TEXT(B30,"YYYY-MM")</f>
        <v>2026-05</v>
      </c>
    </row>
    <row r="31" customFormat="false" ht="15" hidden="false" customHeight="false" outlineLevel="0" collapsed="false">
      <c r="A31" s="6" t="s">
        <v>73</v>
      </c>
      <c r="B31" s="7" t="n">
        <v>46143</v>
      </c>
      <c r="C31" s="6" t="s">
        <v>29</v>
      </c>
      <c r="D31" s="6" t="s">
        <v>33</v>
      </c>
      <c r="E31" s="6" t="s">
        <v>34</v>
      </c>
      <c r="F31" s="7" t="n">
        <v>46145</v>
      </c>
      <c r="G31" s="6" t="n">
        <v>2</v>
      </c>
      <c r="H31" s="6" t="n">
        <v>4</v>
      </c>
      <c r="I31" s="6" t="str">
        <f aca="false">TEXT(B31,"YYYY-MM")</f>
        <v>2026-05</v>
      </c>
    </row>
    <row r="32" customFormat="false" ht="15" hidden="false" customHeight="false" outlineLevel="0" collapsed="false">
      <c r="A32" s="6" t="s">
        <v>74</v>
      </c>
      <c r="B32" s="7" t="n">
        <v>46144</v>
      </c>
      <c r="C32" s="6" t="s">
        <v>38</v>
      </c>
      <c r="D32" s="6" t="s">
        <v>30</v>
      </c>
      <c r="E32" s="6" t="s">
        <v>34</v>
      </c>
      <c r="F32" s="7" t="n">
        <v>46147</v>
      </c>
      <c r="G32" s="6" t="n">
        <v>3</v>
      </c>
      <c r="H32" s="6" t="n">
        <v>2</v>
      </c>
      <c r="I32" s="6" t="str">
        <f aca="false">TEXT(B32,"YYYY-MM")</f>
        <v>2026-05</v>
      </c>
    </row>
    <row r="33" customFormat="false" ht="15" hidden="false" customHeight="false" outlineLevel="0" collapsed="false">
      <c r="A33" s="6" t="s">
        <v>75</v>
      </c>
      <c r="B33" s="7" t="n">
        <v>46145</v>
      </c>
      <c r="C33" s="6" t="s">
        <v>29</v>
      </c>
      <c r="D33" s="6" t="s">
        <v>56</v>
      </c>
      <c r="E33" s="6" t="s">
        <v>34</v>
      </c>
      <c r="F33" s="7" t="n">
        <v>46149</v>
      </c>
      <c r="G33" s="6" t="n">
        <v>4</v>
      </c>
      <c r="H33" s="6" t="n">
        <v>4</v>
      </c>
      <c r="I33" s="6" t="str">
        <f aca="false">TEXT(B33,"YYYY-MM")</f>
        <v>2026-05</v>
      </c>
    </row>
    <row r="34" customFormat="false" ht="15" hidden="false" customHeight="false" outlineLevel="0" collapsed="false">
      <c r="A34" s="6" t="s">
        <v>76</v>
      </c>
      <c r="B34" s="7" t="n">
        <v>46147</v>
      </c>
      <c r="C34" s="6" t="s">
        <v>29</v>
      </c>
      <c r="D34" s="6" t="s">
        <v>36</v>
      </c>
      <c r="E34" s="6" t="s">
        <v>34</v>
      </c>
      <c r="F34" s="7" t="n">
        <v>46149</v>
      </c>
      <c r="G34" s="6" t="n">
        <v>2</v>
      </c>
      <c r="H34" s="6" t="n">
        <v>4</v>
      </c>
      <c r="I34" s="6" t="str">
        <f aca="false">TEXT(B34,"YYYY-MM")</f>
        <v>2026-05</v>
      </c>
    </row>
    <row r="35" customFormat="false" ht="15" hidden="false" customHeight="false" outlineLevel="0" collapsed="false">
      <c r="A35" s="6" t="s">
        <v>77</v>
      </c>
      <c r="B35" s="7" t="n">
        <v>46148</v>
      </c>
      <c r="C35" s="6" t="s">
        <v>70</v>
      </c>
      <c r="D35" s="6" t="s">
        <v>44</v>
      </c>
      <c r="E35" s="6" t="s">
        <v>34</v>
      </c>
      <c r="F35" s="7" t="n">
        <v>46150</v>
      </c>
      <c r="G35" s="6" t="n">
        <v>2</v>
      </c>
      <c r="H35" s="6" t="n">
        <v>5</v>
      </c>
      <c r="I35" s="6" t="str">
        <f aca="false">TEXT(B35,"YYYY-MM")</f>
        <v>2026-05</v>
      </c>
    </row>
    <row r="36" customFormat="false" ht="15" hidden="false" customHeight="false" outlineLevel="0" collapsed="false">
      <c r="A36" s="6" t="s">
        <v>78</v>
      </c>
      <c r="B36" s="7" t="n">
        <v>46149</v>
      </c>
      <c r="C36" s="6" t="s">
        <v>29</v>
      </c>
      <c r="D36" s="6" t="s">
        <v>41</v>
      </c>
      <c r="E36" s="6" t="s">
        <v>34</v>
      </c>
      <c r="F36" s="7" t="n">
        <v>46153</v>
      </c>
      <c r="G36" s="6" t="n">
        <v>4</v>
      </c>
      <c r="H36" s="6" t="n">
        <v>3</v>
      </c>
      <c r="I36" s="6" t="str">
        <f aca="false">TEXT(B36,"YYYY-MM")</f>
        <v>2026-05</v>
      </c>
    </row>
    <row r="37" customFormat="false" ht="15" hidden="false" customHeight="false" outlineLevel="0" collapsed="false">
      <c r="A37" s="6" t="s">
        <v>79</v>
      </c>
      <c r="B37" s="7" t="n">
        <v>46150</v>
      </c>
      <c r="C37" s="6" t="s">
        <v>29</v>
      </c>
      <c r="D37" s="6" t="s">
        <v>41</v>
      </c>
      <c r="E37" s="6" t="s">
        <v>34</v>
      </c>
      <c r="F37" s="7" t="n">
        <v>46159</v>
      </c>
      <c r="G37" s="6" t="n">
        <v>9</v>
      </c>
      <c r="H37" s="6" t="n">
        <v>1</v>
      </c>
      <c r="I37" s="6" t="str">
        <f aca="false">TEXT(B37,"YYYY-MM")</f>
        <v>2026-05</v>
      </c>
    </row>
    <row r="38" customFormat="false" ht="15" hidden="false" customHeight="false" outlineLevel="0" collapsed="false">
      <c r="A38" s="6" t="s">
        <v>80</v>
      </c>
      <c r="B38" s="7" t="n">
        <v>46151</v>
      </c>
      <c r="C38" s="6" t="s">
        <v>52</v>
      </c>
      <c r="D38" s="6" t="s">
        <v>30</v>
      </c>
      <c r="E38" s="6" t="s">
        <v>34</v>
      </c>
      <c r="F38" s="7" t="n">
        <v>46159</v>
      </c>
      <c r="G38" s="6" t="n">
        <v>8</v>
      </c>
      <c r="H38" s="6" t="n">
        <v>2</v>
      </c>
      <c r="I38" s="6" t="str">
        <f aca="false">TEXT(B38,"YYYY-MM")</f>
        <v>2026-05</v>
      </c>
    </row>
    <row r="39" customFormat="false" ht="15" hidden="false" customHeight="false" outlineLevel="0" collapsed="false">
      <c r="A39" s="6" t="s">
        <v>81</v>
      </c>
      <c r="B39" s="7" t="n">
        <v>46151</v>
      </c>
      <c r="C39" s="6" t="s">
        <v>70</v>
      </c>
      <c r="D39" s="6" t="s">
        <v>56</v>
      </c>
      <c r="E39" s="6" t="s">
        <v>31</v>
      </c>
      <c r="F39" s="7"/>
      <c r="G39" s="6"/>
      <c r="H39" s="6"/>
      <c r="I39" s="6" t="str">
        <f aca="false">TEXT(B39,"YYYY-MM")</f>
        <v>2026-05</v>
      </c>
    </row>
    <row r="40" customFormat="false" ht="15" hidden="false" customHeight="false" outlineLevel="0" collapsed="false">
      <c r="A40" s="6" t="s">
        <v>82</v>
      </c>
      <c r="B40" s="7" t="n">
        <v>46152</v>
      </c>
      <c r="C40" s="6" t="s">
        <v>38</v>
      </c>
      <c r="D40" s="6" t="s">
        <v>44</v>
      </c>
      <c r="E40" s="6" t="s">
        <v>31</v>
      </c>
      <c r="F40" s="7"/>
      <c r="G40" s="6"/>
      <c r="H40" s="6"/>
      <c r="I40" s="6" t="str">
        <f aca="false">TEXT(B40,"YYYY-MM")</f>
        <v>2026-05</v>
      </c>
    </row>
    <row r="41" customFormat="false" ht="15" hidden="false" customHeight="false" outlineLevel="0" collapsed="false">
      <c r="A41" s="6" t="s">
        <v>83</v>
      </c>
      <c r="B41" s="7" t="n">
        <v>46153</v>
      </c>
      <c r="C41" s="6" t="s">
        <v>38</v>
      </c>
      <c r="D41" s="6" t="s">
        <v>36</v>
      </c>
      <c r="E41" s="6" t="s">
        <v>34</v>
      </c>
      <c r="F41" s="7" t="n">
        <v>46156</v>
      </c>
      <c r="G41" s="6" t="n">
        <v>3</v>
      </c>
      <c r="H41" s="6" t="n">
        <v>3</v>
      </c>
      <c r="I41" s="6" t="str">
        <f aca="false">TEXT(B41,"YYYY-MM")</f>
        <v>2026-05</v>
      </c>
    </row>
    <row r="42" customFormat="false" ht="15" hidden="false" customHeight="false" outlineLevel="0" collapsed="false">
      <c r="A42" s="6" t="s">
        <v>84</v>
      </c>
      <c r="B42" s="7" t="n">
        <v>46155</v>
      </c>
      <c r="C42" s="6" t="s">
        <v>29</v>
      </c>
      <c r="D42" s="6" t="s">
        <v>44</v>
      </c>
      <c r="E42" s="6" t="s">
        <v>34</v>
      </c>
      <c r="F42" s="7" t="n">
        <v>46157</v>
      </c>
      <c r="G42" s="6" t="n">
        <v>2</v>
      </c>
      <c r="H42" s="6" t="n">
        <v>4</v>
      </c>
      <c r="I42" s="6" t="str">
        <f aca="false">TEXT(B42,"YYYY-MM")</f>
        <v>2026-05</v>
      </c>
    </row>
    <row r="43" customFormat="false" ht="15" hidden="false" customHeight="false" outlineLevel="0" collapsed="false">
      <c r="A43" s="6" t="s">
        <v>85</v>
      </c>
      <c r="B43" s="7" t="n">
        <v>46155</v>
      </c>
      <c r="C43" s="6" t="s">
        <v>52</v>
      </c>
      <c r="D43" s="6" t="s">
        <v>44</v>
      </c>
      <c r="E43" s="6" t="s">
        <v>34</v>
      </c>
      <c r="F43" s="7" t="n">
        <v>46158</v>
      </c>
      <c r="G43" s="6" t="n">
        <v>3</v>
      </c>
      <c r="H43" s="6" t="n">
        <v>2</v>
      </c>
      <c r="I43" s="6" t="str">
        <f aca="false">TEXT(B43,"YYYY-MM")</f>
        <v>2026-05</v>
      </c>
    </row>
    <row r="44" customFormat="false" ht="15" hidden="false" customHeight="false" outlineLevel="0" collapsed="false">
      <c r="A44" s="6" t="s">
        <v>86</v>
      </c>
      <c r="B44" s="7" t="n">
        <v>46158</v>
      </c>
      <c r="C44" s="6" t="s">
        <v>70</v>
      </c>
      <c r="D44" s="6" t="s">
        <v>44</v>
      </c>
      <c r="E44" s="6" t="s">
        <v>34</v>
      </c>
      <c r="F44" s="7" t="n">
        <v>46159</v>
      </c>
      <c r="G44" s="6" t="n">
        <v>1</v>
      </c>
      <c r="H44" s="6" t="n">
        <v>3</v>
      </c>
      <c r="I44" s="6" t="str">
        <f aca="false">TEXT(B44,"YYYY-MM")</f>
        <v>2026-05</v>
      </c>
    </row>
    <row r="45" customFormat="false" ht="15" hidden="false" customHeight="false" outlineLevel="0" collapsed="false">
      <c r="A45" s="6" t="s">
        <v>87</v>
      </c>
      <c r="B45" s="7" t="n">
        <v>46160</v>
      </c>
      <c r="C45" s="6" t="s">
        <v>52</v>
      </c>
      <c r="D45" s="6" t="s">
        <v>33</v>
      </c>
      <c r="E45" s="6" t="s">
        <v>34</v>
      </c>
      <c r="F45" s="7" t="n">
        <v>46163</v>
      </c>
      <c r="G45" s="6" t="n">
        <v>3</v>
      </c>
      <c r="H45" s="6" t="n">
        <v>4</v>
      </c>
      <c r="I45" s="6" t="str">
        <f aca="false">TEXT(B45,"YYYY-MM")</f>
        <v>2026-05</v>
      </c>
    </row>
    <row r="46" customFormat="false" ht="15" hidden="false" customHeight="false" outlineLevel="0" collapsed="false">
      <c r="A46" s="6" t="s">
        <v>88</v>
      </c>
      <c r="B46" s="7" t="n">
        <v>46161</v>
      </c>
      <c r="C46" s="6" t="s">
        <v>52</v>
      </c>
      <c r="D46" s="6" t="s">
        <v>46</v>
      </c>
      <c r="E46" s="6" t="s">
        <v>34</v>
      </c>
      <c r="F46" s="7" t="n">
        <v>46171</v>
      </c>
      <c r="G46" s="6" t="n">
        <v>10</v>
      </c>
      <c r="H46" s="6" t="n">
        <v>3</v>
      </c>
      <c r="I46" s="6" t="str">
        <f aca="false">TEXT(B46,"YYYY-MM")</f>
        <v>2026-05</v>
      </c>
    </row>
    <row r="47" customFormat="false" ht="15" hidden="false" customHeight="false" outlineLevel="0" collapsed="false">
      <c r="A47" s="6" t="s">
        <v>89</v>
      </c>
      <c r="B47" s="7" t="n">
        <v>46163</v>
      </c>
      <c r="C47" s="6" t="s">
        <v>40</v>
      </c>
      <c r="D47" s="6" t="s">
        <v>30</v>
      </c>
      <c r="E47" s="6" t="s">
        <v>34</v>
      </c>
      <c r="F47" s="7" t="n">
        <v>46167</v>
      </c>
      <c r="G47" s="6" t="n">
        <v>4</v>
      </c>
      <c r="H47" s="6" t="n">
        <v>4</v>
      </c>
      <c r="I47" s="6" t="str">
        <f aca="false">TEXT(B47,"YYYY-MM")</f>
        <v>2026-05</v>
      </c>
    </row>
    <row r="48" customFormat="false" ht="15" hidden="false" customHeight="false" outlineLevel="0" collapsed="false">
      <c r="A48" s="6" t="s">
        <v>90</v>
      </c>
      <c r="B48" s="7" t="n">
        <v>46163</v>
      </c>
      <c r="C48" s="6" t="s">
        <v>43</v>
      </c>
      <c r="D48" s="6" t="s">
        <v>30</v>
      </c>
      <c r="E48" s="6" t="s">
        <v>31</v>
      </c>
      <c r="F48" s="7"/>
      <c r="G48" s="6"/>
      <c r="H48" s="6"/>
      <c r="I48" s="6" t="str">
        <f aca="false">TEXT(B48,"YYYY-MM")</f>
        <v>2026-05</v>
      </c>
    </row>
    <row r="49" customFormat="false" ht="15" hidden="false" customHeight="false" outlineLevel="0" collapsed="false">
      <c r="A49" s="6" t="s">
        <v>91</v>
      </c>
      <c r="B49" s="7" t="n">
        <v>46164</v>
      </c>
      <c r="C49" s="6" t="s">
        <v>29</v>
      </c>
      <c r="D49" s="6" t="s">
        <v>30</v>
      </c>
      <c r="E49" s="6" t="s">
        <v>31</v>
      </c>
      <c r="F49" s="7"/>
      <c r="G49" s="6"/>
      <c r="H49" s="6"/>
      <c r="I49" s="6" t="str">
        <f aca="false">TEXT(B49,"YYYY-MM")</f>
        <v>2026-05</v>
      </c>
    </row>
    <row r="50" customFormat="false" ht="15" hidden="false" customHeight="false" outlineLevel="0" collapsed="false">
      <c r="A50" s="6" t="s">
        <v>92</v>
      </c>
      <c r="B50" s="7" t="n">
        <v>46166</v>
      </c>
      <c r="C50" s="6" t="s">
        <v>43</v>
      </c>
      <c r="D50" s="6" t="s">
        <v>36</v>
      </c>
      <c r="E50" s="6" t="s">
        <v>34</v>
      </c>
      <c r="F50" s="7" t="n">
        <v>46168</v>
      </c>
      <c r="G50" s="6" t="n">
        <v>2</v>
      </c>
      <c r="H50" s="6" t="n">
        <v>5</v>
      </c>
      <c r="I50" s="6" t="str">
        <f aca="false">TEXT(B50,"YYYY-MM")</f>
        <v>2026-05</v>
      </c>
    </row>
    <row r="51" customFormat="false" ht="15" hidden="false" customHeight="false" outlineLevel="0" collapsed="false">
      <c r="A51" s="6" t="s">
        <v>93</v>
      </c>
      <c r="B51" s="7" t="n">
        <v>46167</v>
      </c>
      <c r="C51" s="6" t="s">
        <v>29</v>
      </c>
      <c r="D51" s="6" t="s">
        <v>56</v>
      </c>
      <c r="E51" s="6" t="s">
        <v>34</v>
      </c>
      <c r="F51" s="7" t="n">
        <v>46169</v>
      </c>
      <c r="G51" s="6" t="n">
        <v>2</v>
      </c>
      <c r="H51" s="6" t="n">
        <v>3</v>
      </c>
      <c r="I51" s="6" t="str">
        <f aca="false">TEXT(B51,"YYYY-MM")</f>
        <v>2026-05</v>
      </c>
    </row>
    <row r="52" customFormat="false" ht="15" hidden="false" customHeight="false" outlineLevel="0" collapsed="false">
      <c r="A52" s="6" t="s">
        <v>94</v>
      </c>
      <c r="B52" s="7" t="n">
        <v>46169</v>
      </c>
      <c r="C52" s="6" t="s">
        <v>70</v>
      </c>
      <c r="D52" s="6" t="s">
        <v>36</v>
      </c>
      <c r="E52" s="6" t="s">
        <v>34</v>
      </c>
      <c r="F52" s="7" t="n">
        <v>46170</v>
      </c>
      <c r="G52" s="6" t="n">
        <v>1</v>
      </c>
      <c r="H52" s="6" t="n">
        <v>3</v>
      </c>
      <c r="I52" s="6" t="str">
        <f aca="false">TEXT(B52,"YYYY-MM")</f>
        <v>2026-05</v>
      </c>
    </row>
    <row r="53" customFormat="false" ht="15" hidden="false" customHeight="false" outlineLevel="0" collapsed="false">
      <c r="A53" s="6" t="s">
        <v>95</v>
      </c>
      <c r="B53" s="7" t="n">
        <v>46170</v>
      </c>
      <c r="C53" s="6" t="s">
        <v>40</v>
      </c>
      <c r="D53" s="6" t="s">
        <v>56</v>
      </c>
      <c r="E53" s="6" t="s">
        <v>34</v>
      </c>
      <c r="F53" s="7" t="n">
        <v>46174</v>
      </c>
      <c r="G53" s="6" t="n">
        <v>4</v>
      </c>
      <c r="H53" s="6" t="n">
        <v>2</v>
      </c>
      <c r="I53" s="6" t="str">
        <f aca="false">TEXT(B53,"YYYY-MM")</f>
        <v>2026-05</v>
      </c>
    </row>
    <row r="54" customFormat="false" ht="15" hidden="false" customHeight="false" outlineLevel="0" collapsed="false">
      <c r="A54" s="6" t="s">
        <v>96</v>
      </c>
      <c r="B54" s="7" t="n">
        <v>46170</v>
      </c>
      <c r="C54" s="6" t="s">
        <v>38</v>
      </c>
      <c r="D54" s="6" t="s">
        <v>56</v>
      </c>
      <c r="E54" s="6" t="s">
        <v>34</v>
      </c>
      <c r="F54" s="7" t="n">
        <v>46176</v>
      </c>
      <c r="G54" s="6" t="n">
        <v>6</v>
      </c>
      <c r="H54" s="6" t="n">
        <v>3</v>
      </c>
      <c r="I54" s="6" t="str">
        <f aca="false">TEXT(B54,"YYYY-MM")</f>
        <v>2026-05</v>
      </c>
    </row>
    <row r="55" customFormat="false" ht="15" hidden="false" customHeight="false" outlineLevel="0" collapsed="false">
      <c r="A55" s="6" t="s">
        <v>97</v>
      </c>
      <c r="B55" s="7" t="n">
        <v>46171</v>
      </c>
      <c r="C55" s="6" t="s">
        <v>38</v>
      </c>
      <c r="D55" s="6" t="s">
        <v>46</v>
      </c>
      <c r="E55" s="6" t="s">
        <v>34</v>
      </c>
      <c r="F55" s="7" t="n">
        <v>46191</v>
      </c>
      <c r="G55" s="6" t="n">
        <v>20</v>
      </c>
      <c r="H55" s="6" t="n">
        <v>4</v>
      </c>
      <c r="I55" s="6" t="str">
        <f aca="false">TEXT(B55,"YYYY-MM")</f>
        <v>2026-05</v>
      </c>
    </row>
    <row r="56" customFormat="false" ht="15" hidden="false" customHeight="false" outlineLevel="0" collapsed="false">
      <c r="A56" s="6" t="s">
        <v>98</v>
      </c>
      <c r="B56" s="7" t="n">
        <v>46172</v>
      </c>
      <c r="C56" s="6" t="s">
        <v>29</v>
      </c>
      <c r="D56" s="6" t="s">
        <v>30</v>
      </c>
      <c r="E56" s="6" t="s">
        <v>34</v>
      </c>
      <c r="F56" s="7" t="n">
        <v>46178</v>
      </c>
      <c r="G56" s="6" t="n">
        <v>6</v>
      </c>
      <c r="H56" s="6" t="n">
        <v>2</v>
      </c>
      <c r="I56" s="6" t="str">
        <f aca="false">TEXT(B56,"YYYY-MM")</f>
        <v>2026-05</v>
      </c>
    </row>
    <row r="57" customFormat="false" ht="15" hidden="false" customHeight="false" outlineLevel="0" collapsed="false">
      <c r="A57" s="6" t="s">
        <v>99</v>
      </c>
      <c r="B57" s="7" t="n">
        <v>46173</v>
      </c>
      <c r="C57" s="6" t="s">
        <v>70</v>
      </c>
      <c r="D57" s="6" t="s">
        <v>36</v>
      </c>
      <c r="E57" s="6" t="s">
        <v>34</v>
      </c>
      <c r="F57" s="7" t="n">
        <v>46174</v>
      </c>
      <c r="G57" s="6" t="n">
        <v>1</v>
      </c>
      <c r="H57" s="6" t="n">
        <v>4</v>
      </c>
      <c r="I57" s="6" t="str">
        <f aca="false">TEXT(B57,"YYYY-MM")</f>
        <v>2026-05</v>
      </c>
    </row>
    <row r="58" customFormat="false" ht="15" hidden="false" customHeight="false" outlineLevel="0" collapsed="false">
      <c r="A58" s="6" t="s">
        <v>100</v>
      </c>
      <c r="B58" s="7" t="n">
        <v>46174</v>
      </c>
      <c r="C58" s="6" t="s">
        <v>52</v>
      </c>
      <c r="D58" s="6" t="s">
        <v>58</v>
      </c>
      <c r="E58" s="6" t="s">
        <v>34</v>
      </c>
      <c r="F58" s="7" t="n">
        <v>46177</v>
      </c>
      <c r="G58" s="6" t="n">
        <v>3</v>
      </c>
      <c r="H58" s="6" t="n">
        <v>4</v>
      </c>
      <c r="I58" s="6" t="str">
        <f aca="false">TEXT(B58,"YYYY-MM")</f>
        <v>2026-06</v>
      </c>
    </row>
    <row r="59" customFormat="false" ht="15" hidden="false" customHeight="false" outlineLevel="0" collapsed="false">
      <c r="A59" s="6" t="s">
        <v>101</v>
      </c>
      <c r="B59" s="7" t="n">
        <v>46175</v>
      </c>
      <c r="C59" s="6" t="s">
        <v>38</v>
      </c>
      <c r="D59" s="6" t="s">
        <v>36</v>
      </c>
      <c r="E59" s="6" t="s">
        <v>34</v>
      </c>
      <c r="F59" s="7" t="n">
        <v>46178</v>
      </c>
      <c r="G59" s="6" t="n">
        <v>3</v>
      </c>
      <c r="H59" s="6" t="n">
        <v>2</v>
      </c>
      <c r="I59" s="6" t="str">
        <f aca="false">TEXT(B59,"YYYY-MM")</f>
        <v>2026-06</v>
      </c>
    </row>
    <row r="60" customFormat="false" ht="15" hidden="false" customHeight="false" outlineLevel="0" collapsed="false">
      <c r="A60" s="6" t="s">
        <v>102</v>
      </c>
      <c r="B60" s="7" t="n">
        <v>46175</v>
      </c>
      <c r="C60" s="6" t="s">
        <v>52</v>
      </c>
      <c r="D60" s="6" t="s">
        <v>44</v>
      </c>
      <c r="E60" s="6" t="s">
        <v>34</v>
      </c>
      <c r="F60" s="7" t="n">
        <v>46177</v>
      </c>
      <c r="G60" s="6" t="n">
        <v>2</v>
      </c>
      <c r="H60" s="6" t="n">
        <v>5</v>
      </c>
      <c r="I60" s="6" t="str">
        <f aca="false">TEXT(B60,"YYYY-MM")</f>
        <v>2026-06</v>
      </c>
    </row>
    <row r="61" customFormat="false" ht="15" hidden="false" customHeight="false" outlineLevel="0" collapsed="false">
      <c r="A61" s="6" t="s">
        <v>103</v>
      </c>
      <c r="B61" s="7" t="n">
        <v>46176</v>
      </c>
      <c r="C61" s="6" t="s">
        <v>40</v>
      </c>
      <c r="D61" s="6" t="s">
        <v>36</v>
      </c>
      <c r="E61" s="6" t="s">
        <v>34</v>
      </c>
      <c r="F61" s="7" t="n">
        <v>46178</v>
      </c>
      <c r="G61" s="6" t="n">
        <v>2</v>
      </c>
      <c r="H61" s="6" t="n">
        <v>2</v>
      </c>
      <c r="I61" s="6" t="str">
        <f aca="false">TEXT(B61,"YYYY-MM")</f>
        <v>2026-06</v>
      </c>
    </row>
    <row r="62" customFormat="false" ht="15" hidden="false" customHeight="false" outlineLevel="0" collapsed="false">
      <c r="A62" s="6" t="s">
        <v>104</v>
      </c>
      <c r="B62" s="7" t="n">
        <v>46176</v>
      </c>
      <c r="C62" s="6" t="s">
        <v>29</v>
      </c>
      <c r="D62" s="6" t="s">
        <v>36</v>
      </c>
      <c r="E62" s="6" t="s">
        <v>34</v>
      </c>
      <c r="F62" s="7" t="n">
        <v>46178</v>
      </c>
      <c r="G62" s="6" t="n">
        <v>2</v>
      </c>
      <c r="H62" s="6" t="n">
        <v>2</v>
      </c>
      <c r="I62" s="6" t="str">
        <f aca="false">TEXT(B62,"YYYY-MM")</f>
        <v>2026-06</v>
      </c>
    </row>
    <row r="63" customFormat="false" ht="15" hidden="false" customHeight="false" outlineLevel="0" collapsed="false">
      <c r="A63" s="6" t="s">
        <v>105</v>
      </c>
      <c r="B63" s="7" t="n">
        <v>46177</v>
      </c>
      <c r="C63" s="6" t="s">
        <v>38</v>
      </c>
      <c r="D63" s="6" t="s">
        <v>46</v>
      </c>
      <c r="E63" s="6" t="s">
        <v>34</v>
      </c>
      <c r="F63" s="7" t="n">
        <v>46199</v>
      </c>
      <c r="G63" s="6" t="n">
        <v>22</v>
      </c>
      <c r="H63" s="6" t="n">
        <v>3</v>
      </c>
      <c r="I63" s="6" t="str">
        <f aca="false">TEXT(B63,"YYYY-MM")</f>
        <v>2026-06</v>
      </c>
    </row>
    <row r="64" customFormat="false" ht="15" hidden="false" customHeight="false" outlineLevel="0" collapsed="false">
      <c r="A64" s="6" t="s">
        <v>106</v>
      </c>
      <c r="B64" s="7" t="n">
        <v>46178</v>
      </c>
      <c r="C64" s="6" t="s">
        <v>29</v>
      </c>
      <c r="D64" s="6" t="s">
        <v>56</v>
      </c>
      <c r="E64" s="6" t="s">
        <v>34</v>
      </c>
      <c r="F64" s="7" t="n">
        <v>46182</v>
      </c>
      <c r="G64" s="6" t="n">
        <v>4</v>
      </c>
      <c r="H64" s="6" t="n">
        <v>1</v>
      </c>
      <c r="I64" s="6" t="str">
        <f aca="false">TEXT(B64,"YYYY-MM")</f>
        <v>2026-06</v>
      </c>
    </row>
    <row r="65" customFormat="false" ht="15" hidden="false" customHeight="false" outlineLevel="0" collapsed="false">
      <c r="A65" s="6" t="s">
        <v>107</v>
      </c>
      <c r="B65" s="7" t="n">
        <v>46179</v>
      </c>
      <c r="C65" s="6" t="s">
        <v>40</v>
      </c>
      <c r="D65" s="6" t="s">
        <v>36</v>
      </c>
      <c r="E65" s="6" t="s">
        <v>34</v>
      </c>
      <c r="F65" s="7" t="n">
        <v>46182</v>
      </c>
      <c r="G65" s="6" t="n">
        <v>3</v>
      </c>
      <c r="H65" s="6" t="n">
        <v>1</v>
      </c>
      <c r="I65" s="6" t="str">
        <f aca="false">TEXT(B65,"YYYY-MM")</f>
        <v>2026-06</v>
      </c>
    </row>
    <row r="66" customFormat="false" ht="15" hidden="false" customHeight="false" outlineLevel="0" collapsed="false">
      <c r="A66" s="6" t="s">
        <v>108</v>
      </c>
      <c r="B66" s="7" t="n">
        <v>46180</v>
      </c>
      <c r="C66" s="6" t="s">
        <v>38</v>
      </c>
      <c r="D66" s="6" t="s">
        <v>56</v>
      </c>
      <c r="E66" s="6" t="s">
        <v>34</v>
      </c>
      <c r="F66" s="7" t="n">
        <v>46186</v>
      </c>
      <c r="G66" s="6" t="n">
        <v>6</v>
      </c>
      <c r="H66" s="6" t="n">
        <v>3</v>
      </c>
      <c r="I66" s="6" t="str">
        <f aca="false">TEXT(B66,"YYYY-MM")</f>
        <v>2026-06</v>
      </c>
    </row>
    <row r="67" customFormat="false" ht="15" hidden="false" customHeight="false" outlineLevel="0" collapsed="false">
      <c r="A67" s="6" t="s">
        <v>109</v>
      </c>
      <c r="B67" s="7" t="n">
        <v>46182</v>
      </c>
      <c r="C67" s="6" t="s">
        <v>43</v>
      </c>
      <c r="D67" s="6" t="s">
        <v>56</v>
      </c>
      <c r="E67" s="6" t="s">
        <v>34</v>
      </c>
      <c r="F67" s="7" t="n">
        <v>46188</v>
      </c>
      <c r="G67" s="6" t="n">
        <v>6</v>
      </c>
      <c r="H67" s="6" t="n">
        <v>5</v>
      </c>
      <c r="I67" s="6" t="str">
        <f aca="false">TEXT(B67,"YYYY-MM")</f>
        <v>2026-06</v>
      </c>
    </row>
    <row r="68" customFormat="false" ht="15" hidden="false" customHeight="false" outlineLevel="0" collapsed="false">
      <c r="A68" s="6" t="s">
        <v>110</v>
      </c>
      <c r="B68" s="7" t="n">
        <v>46182</v>
      </c>
      <c r="C68" s="6" t="s">
        <v>40</v>
      </c>
      <c r="D68" s="6" t="s">
        <v>41</v>
      </c>
      <c r="E68" s="6" t="s">
        <v>34</v>
      </c>
      <c r="F68" s="7" t="n">
        <v>46193</v>
      </c>
      <c r="G68" s="6" t="n">
        <v>11</v>
      </c>
      <c r="H68" s="6" t="n">
        <v>3</v>
      </c>
      <c r="I68" s="6" t="str">
        <f aca="false">TEXT(B68,"YYYY-MM")</f>
        <v>2026-06</v>
      </c>
    </row>
    <row r="69" customFormat="false" ht="15" hidden="false" customHeight="false" outlineLevel="0" collapsed="false">
      <c r="A69" s="6" t="s">
        <v>111</v>
      </c>
      <c r="B69" s="7" t="n">
        <v>46183</v>
      </c>
      <c r="C69" s="6" t="s">
        <v>70</v>
      </c>
      <c r="D69" s="6" t="s">
        <v>56</v>
      </c>
      <c r="E69" s="6" t="s">
        <v>34</v>
      </c>
      <c r="F69" s="7" t="n">
        <v>46191</v>
      </c>
      <c r="G69" s="6" t="n">
        <v>8</v>
      </c>
      <c r="H69" s="6" t="n">
        <v>2</v>
      </c>
      <c r="I69" s="6" t="str">
        <f aca="false">TEXT(B69,"YYYY-MM")</f>
        <v>2026-06</v>
      </c>
    </row>
    <row r="70" customFormat="false" ht="15" hidden="false" customHeight="false" outlineLevel="0" collapsed="false">
      <c r="A70" s="6" t="s">
        <v>112</v>
      </c>
      <c r="B70" s="7" t="n">
        <v>46183</v>
      </c>
      <c r="C70" s="6" t="s">
        <v>38</v>
      </c>
      <c r="D70" s="6" t="s">
        <v>56</v>
      </c>
      <c r="E70" s="6" t="s">
        <v>34</v>
      </c>
      <c r="F70" s="7" t="n">
        <v>46188</v>
      </c>
      <c r="G70" s="6" t="n">
        <v>5</v>
      </c>
      <c r="H70" s="6" t="n">
        <v>3</v>
      </c>
      <c r="I70" s="6" t="str">
        <f aca="false">TEXT(B70,"YYYY-MM")</f>
        <v>2026-06</v>
      </c>
    </row>
    <row r="71" customFormat="false" ht="15" hidden="false" customHeight="false" outlineLevel="0" collapsed="false">
      <c r="A71" s="6" t="s">
        <v>113</v>
      </c>
      <c r="B71" s="7" t="n">
        <v>46184</v>
      </c>
      <c r="C71" s="6" t="s">
        <v>70</v>
      </c>
      <c r="D71" s="6" t="s">
        <v>41</v>
      </c>
      <c r="E71" s="6" t="s">
        <v>34</v>
      </c>
      <c r="F71" s="7" t="n">
        <v>46193</v>
      </c>
      <c r="G71" s="6" t="n">
        <v>9</v>
      </c>
      <c r="H71" s="6" t="n">
        <v>3</v>
      </c>
      <c r="I71" s="6" t="str">
        <f aca="false">TEXT(B71,"YYYY-MM")</f>
        <v>2026-06</v>
      </c>
    </row>
    <row r="72" customFormat="false" ht="15" hidden="false" customHeight="false" outlineLevel="0" collapsed="false">
      <c r="A72" s="6" t="s">
        <v>114</v>
      </c>
      <c r="B72" s="7" t="n">
        <v>46184</v>
      </c>
      <c r="C72" s="6" t="s">
        <v>38</v>
      </c>
      <c r="D72" s="6" t="s">
        <v>56</v>
      </c>
      <c r="E72" s="6" t="s">
        <v>31</v>
      </c>
      <c r="F72" s="7"/>
      <c r="G72" s="6"/>
      <c r="H72" s="6"/>
      <c r="I72" s="6" t="str">
        <f aca="false">TEXT(B72,"YYYY-MM")</f>
        <v>2026-06</v>
      </c>
    </row>
    <row r="73" customFormat="false" ht="15" hidden="false" customHeight="false" outlineLevel="0" collapsed="false">
      <c r="A73" s="6" t="s">
        <v>115</v>
      </c>
      <c r="B73" s="7" t="n">
        <v>46185</v>
      </c>
      <c r="C73" s="6" t="s">
        <v>40</v>
      </c>
      <c r="D73" s="6" t="s">
        <v>36</v>
      </c>
      <c r="E73" s="6" t="s">
        <v>34</v>
      </c>
      <c r="F73" s="7" t="n">
        <v>46188</v>
      </c>
      <c r="G73" s="6" t="n">
        <v>3</v>
      </c>
      <c r="H73" s="6" t="n">
        <v>3</v>
      </c>
      <c r="I73" s="6" t="str">
        <f aca="false">TEXT(B73,"YYYY-MM")</f>
        <v>2026-06</v>
      </c>
    </row>
    <row r="74" customFormat="false" ht="15" hidden="false" customHeight="false" outlineLevel="0" collapsed="false">
      <c r="A74" s="6" t="s">
        <v>116</v>
      </c>
      <c r="B74" s="7" t="n">
        <v>46186</v>
      </c>
      <c r="C74" s="6" t="s">
        <v>70</v>
      </c>
      <c r="D74" s="6" t="s">
        <v>41</v>
      </c>
      <c r="E74" s="6" t="s">
        <v>34</v>
      </c>
      <c r="F74" s="7" t="n">
        <v>46189</v>
      </c>
      <c r="G74" s="6" t="n">
        <v>3</v>
      </c>
      <c r="H74" s="6" t="n">
        <v>4</v>
      </c>
      <c r="I74" s="6" t="str">
        <f aca="false">TEXT(B74,"YYYY-MM")</f>
        <v>2026-06</v>
      </c>
    </row>
    <row r="75" customFormat="false" ht="15" hidden="false" customHeight="false" outlineLevel="0" collapsed="false">
      <c r="A75" s="6" t="s">
        <v>117</v>
      </c>
      <c r="B75" s="7" t="n">
        <v>46188</v>
      </c>
      <c r="C75" s="6" t="s">
        <v>38</v>
      </c>
      <c r="D75" s="6" t="s">
        <v>56</v>
      </c>
      <c r="E75" s="6" t="s">
        <v>34</v>
      </c>
      <c r="F75" s="7" t="n">
        <v>46192</v>
      </c>
      <c r="G75" s="6" t="n">
        <v>4</v>
      </c>
      <c r="H75" s="6" t="n">
        <v>3</v>
      </c>
      <c r="I75" s="6" t="str">
        <f aca="false">TEXT(B75,"YYYY-MM")</f>
        <v>2026-06</v>
      </c>
    </row>
    <row r="76" customFormat="false" ht="15" hidden="false" customHeight="false" outlineLevel="0" collapsed="false">
      <c r="A76" s="6" t="s">
        <v>118</v>
      </c>
      <c r="B76" s="7" t="n">
        <v>46190</v>
      </c>
      <c r="C76" s="6" t="s">
        <v>40</v>
      </c>
      <c r="D76" s="6" t="s">
        <v>46</v>
      </c>
      <c r="E76" s="6" t="s">
        <v>34</v>
      </c>
      <c r="F76" s="7" t="n">
        <v>46199</v>
      </c>
      <c r="G76" s="6" t="n">
        <v>9</v>
      </c>
      <c r="H76" s="6" t="n">
        <v>4</v>
      </c>
      <c r="I76" s="6" t="str">
        <f aca="false">TEXT(B76,"YYYY-MM")</f>
        <v>2026-06</v>
      </c>
    </row>
    <row r="77" customFormat="false" ht="15" hidden="false" customHeight="false" outlineLevel="0" collapsed="false">
      <c r="A77" s="6" t="s">
        <v>119</v>
      </c>
      <c r="B77" s="7" t="n">
        <v>46192</v>
      </c>
      <c r="C77" s="6" t="s">
        <v>38</v>
      </c>
      <c r="D77" s="6" t="s">
        <v>46</v>
      </c>
      <c r="E77" s="6" t="s">
        <v>34</v>
      </c>
      <c r="F77" s="7" t="n">
        <v>46216</v>
      </c>
      <c r="G77" s="6" t="n">
        <v>24</v>
      </c>
      <c r="H77" s="6" t="n">
        <v>4</v>
      </c>
      <c r="I77" s="6" t="str">
        <f aca="false">TEXT(B77,"YYYY-MM")</f>
        <v>2026-06</v>
      </c>
    </row>
    <row r="78" customFormat="false" ht="15" hidden="false" customHeight="false" outlineLevel="0" collapsed="false">
      <c r="A78" s="6" t="s">
        <v>120</v>
      </c>
      <c r="B78" s="7" t="n">
        <v>46193</v>
      </c>
      <c r="C78" s="6" t="s">
        <v>38</v>
      </c>
      <c r="D78" s="6" t="s">
        <v>33</v>
      </c>
      <c r="E78" s="6" t="s">
        <v>34</v>
      </c>
      <c r="F78" s="7" t="n">
        <v>46194</v>
      </c>
      <c r="G78" s="6" t="n">
        <v>1</v>
      </c>
      <c r="H78" s="6" t="n">
        <v>2</v>
      </c>
      <c r="I78" s="6" t="str">
        <f aca="false">TEXT(B78,"YYYY-MM")</f>
        <v>2026-06</v>
      </c>
    </row>
    <row r="79" customFormat="false" ht="15" hidden="false" customHeight="false" outlineLevel="0" collapsed="false">
      <c r="A79" s="6" t="s">
        <v>121</v>
      </c>
      <c r="B79" s="7" t="n">
        <v>46194</v>
      </c>
      <c r="C79" s="6" t="s">
        <v>70</v>
      </c>
      <c r="D79" s="6" t="s">
        <v>36</v>
      </c>
      <c r="E79" s="6" t="s">
        <v>34</v>
      </c>
      <c r="F79" s="7" t="n">
        <v>46197</v>
      </c>
      <c r="G79" s="6" t="n">
        <v>3</v>
      </c>
      <c r="H79" s="6" t="n">
        <v>2</v>
      </c>
      <c r="I79" s="6" t="str">
        <f aca="false">TEXT(B79,"YYYY-MM")</f>
        <v>2026-06</v>
      </c>
    </row>
    <row r="80" customFormat="false" ht="15" hidden="false" customHeight="false" outlineLevel="0" collapsed="false">
      <c r="A80" s="6" t="s">
        <v>122</v>
      </c>
      <c r="B80" s="7" t="n">
        <v>46195</v>
      </c>
      <c r="C80" s="6" t="s">
        <v>70</v>
      </c>
      <c r="D80" s="6" t="s">
        <v>30</v>
      </c>
      <c r="E80" s="6" t="s">
        <v>34</v>
      </c>
      <c r="F80" s="7" t="n">
        <v>46202</v>
      </c>
      <c r="G80" s="6" t="n">
        <v>7</v>
      </c>
      <c r="H80" s="6" t="n">
        <v>3</v>
      </c>
      <c r="I80" s="6" t="str">
        <f aca="false">TEXT(B80,"YYYY-MM")</f>
        <v>2026-06</v>
      </c>
    </row>
    <row r="81" customFormat="false" ht="15" hidden="false" customHeight="false" outlineLevel="0" collapsed="false">
      <c r="A81" s="6" t="s">
        <v>123</v>
      </c>
      <c r="B81" s="7" t="n">
        <v>46195</v>
      </c>
      <c r="C81" s="6" t="s">
        <v>70</v>
      </c>
      <c r="D81" s="6" t="s">
        <v>41</v>
      </c>
      <c r="E81" s="6" t="s">
        <v>34</v>
      </c>
      <c r="F81" s="7" t="n">
        <v>46205</v>
      </c>
      <c r="G81" s="6" t="n">
        <v>10</v>
      </c>
      <c r="H81" s="6" t="n">
        <v>3</v>
      </c>
      <c r="I81" s="6" t="str">
        <f aca="false">TEXT(B81,"YYYY-MM")</f>
        <v>2026-06</v>
      </c>
    </row>
    <row r="82" customFormat="false" ht="15" hidden="false" customHeight="false" outlineLevel="0" collapsed="false">
      <c r="A82" s="6" t="s">
        <v>124</v>
      </c>
      <c r="B82" s="7" t="n">
        <v>46196</v>
      </c>
      <c r="C82" s="6" t="s">
        <v>38</v>
      </c>
      <c r="D82" s="6" t="s">
        <v>36</v>
      </c>
      <c r="E82" s="6" t="s">
        <v>34</v>
      </c>
      <c r="F82" s="7" t="n">
        <v>46199</v>
      </c>
      <c r="G82" s="6" t="n">
        <v>3</v>
      </c>
      <c r="H82" s="6" t="n">
        <v>1</v>
      </c>
      <c r="I82" s="6" t="str">
        <f aca="false">TEXT(B82,"YYYY-MM")</f>
        <v>2026-06</v>
      </c>
    </row>
    <row r="83" customFormat="false" ht="15" hidden="false" customHeight="false" outlineLevel="0" collapsed="false">
      <c r="A83" s="6" t="s">
        <v>125</v>
      </c>
      <c r="B83" s="7" t="n">
        <v>46197</v>
      </c>
      <c r="C83" s="6" t="s">
        <v>52</v>
      </c>
      <c r="D83" s="6" t="s">
        <v>44</v>
      </c>
      <c r="E83" s="6" t="s">
        <v>34</v>
      </c>
      <c r="F83" s="7" t="n">
        <v>46200</v>
      </c>
      <c r="G83" s="6" t="n">
        <v>3</v>
      </c>
      <c r="H83" s="6" t="n">
        <v>1</v>
      </c>
      <c r="I83" s="6" t="str">
        <f aca="false">TEXT(B83,"YYYY-MM")</f>
        <v>2026-06</v>
      </c>
    </row>
    <row r="84" customFormat="false" ht="15" hidden="false" customHeight="false" outlineLevel="0" collapsed="false">
      <c r="A84" s="6" t="s">
        <v>126</v>
      </c>
      <c r="B84" s="7" t="n">
        <v>46197</v>
      </c>
      <c r="C84" s="6" t="s">
        <v>40</v>
      </c>
      <c r="D84" s="6" t="s">
        <v>41</v>
      </c>
      <c r="E84" s="6" t="s">
        <v>34</v>
      </c>
      <c r="F84" s="7" t="n">
        <v>46204</v>
      </c>
      <c r="G84" s="6" t="n">
        <v>7</v>
      </c>
      <c r="H84" s="6" t="n">
        <v>4</v>
      </c>
      <c r="I84" s="6" t="str">
        <f aca="false">TEXT(B84,"YYYY-MM")</f>
        <v>2026-06</v>
      </c>
    </row>
    <row r="85" customFormat="false" ht="15" hidden="false" customHeight="false" outlineLevel="0" collapsed="false">
      <c r="A85" s="6" t="s">
        <v>127</v>
      </c>
      <c r="B85" s="7" t="n">
        <v>46198</v>
      </c>
      <c r="C85" s="6" t="s">
        <v>70</v>
      </c>
      <c r="D85" s="6" t="s">
        <v>41</v>
      </c>
      <c r="E85" s="6" t="s">
        <v>34</v>
      </c>
      <c r="F85" s="7" t="n">
        <v>46202</v>
      </c>
      <c r="G85" s="6" t="n">
        <v>4</v>
      </c>
      <c r="H85" s="6" t="n">
        <v>4</v>
      </c>
      <c r="I85" s="6" t="str">
        <f aca="false">TEXT(B85,"YYYY-MM")</f>
        <v>2026-06</v>
      </c>
    </row>
    <row r="86" customFormat="false" ht="15" hidden="false" customHeight="false" outlineLevel="0" collapsed="false">
      <c r="A86" s="6" t="s">
        <v>128</v>
      </c>
      <c r="B86" s="7" t="n">
        <v>46199</v>
      </c>
      <c r="C86" s="6" t="s">
        <v>43</v>
      </c>
      <c r="D86" s="6" t="s">
        <v>41</v>
      </c>
      <c r="E86" s="6" t="s">
        <v>34</v>
      </c>
      <c r="F86" s="7" t="n">
        <v>46207</v>
      </c>
      <c r="G86" s="6" t="n">
        <v>8</v>
      </c>
      <c r="H86" s="6" t="n">
        <v>2</v>
      </c>
      <c r="I86" s="6" t="str">
        <f aca="false">TEXT(B86,"YYYY-MM")</f>
        <v>2026-06</v>
      </c>
    </row>
    <row r="87" customFormat="false" ht="15" hidden="false" customHeight="false" outlineLevel="0" collapsed="false">
      <c r="A87" s="6" t="s">
        <v>129</v>
      </c>
      <c r="B87" s="7" t="n">
        <v>46200</v>
      </c>
      <c r="C87" s="6" t="s">
        <v>40</v>
      </c>
      <c r="D87" s="6" t="s">
        <v>33</v>
      </c>
      <c r="E87" s="6" t="s">
        <v>34</v>
      </c>
      <c r="F87" s="7" t="n">
        <v>46205</v>
      </c>
      <c r="G87" s="6" t="n">
        <v>5</v>
      </c>
      <c r="H87" s="6" t="n">
        <v>2</v>
      </c>
      <c r="I87" s="6" t="str">
        <f aca="false">TEXT(B87,"YYYY-MM")</f>
        <v>2026-06</v>
      </c>
    </row>
    <row r="88" customFormat="false" ht="15" hidden="false" customHeight="false" outlineLevel="0" collapsed="false">
      <c r="A88" s="6" t="s">
        <v>130</v>
      </c>
      <c r="B88" s="7" t="n">
        <v>46201</v>
      </c>
      <c r="C88" s="6" t="s">
        <v>38</v>
      </c>
      <c r="D88" s="6" t="s">
        <v>56</v>
      </c>
      <c r="E88" s="6" t="s">
        <v>34</v>
      </c>
      <c r="F88" s="7" t="n">
        <v>46205</v>
      </c>
      <c r="G88" s="6" t="n">
        <v>4</v>
      </c>
      <c r="H88" s="6" t="n">
        <v>4</v>
      </c>
      <c r="I88" s="6" t="str">
        <f aca="false">TEXT(B88,"YYYY-MM")</f>
        <v>2026-06</v>
      </c>
    </row>
    <row r="89" customFormat="false" ht="15" hidden="false" customHeight="false" outlineLevel="0" collapsed="false">
      <c r="A89" s="6" t="s">
        <v>131</v>
      </c>
      <c r="B89" s="7" t="n">
        <v>46202</v>
      </c>
      <c r="C89" s="6" t="s">
        <v>38</v>
      </c>
      <c r="D89" s="6" t="s">
        <v>56</v>
      </c>
      <c r="E89" s="6" t="s">
        <v>34</v>
      </c>
      <c r="F89" s="7" t="n">
        <v>46210</v>
      </c>
      <c r="G89" s="6" t="n">
        <v>8</v>
      </c>
      <c r="H89" s="6" t="n">
        <v>4</v>
      </c>
      <c r="I89" s="6" t="str">
        <f aca="false">TEXT(B89,"YYYY-MM")</f>
        <v>2026-06</v>
      </c>
    </row>
    <row r="90" customFormat="false" ht="15" hidden="false" customHeight="false" outlineLevel="0" collapsed="false">
      <c r="A90" s="6" t="s">
        <v>132</v>
      </c>
      <c r="B90" s="7" t="n">
        <v>46203</v>
      </c>
      <c r="C90" s="6" t="s">
        <v>52</v>
      </c>
      <c r="D90" s="6" t="s">
        <v>41</v>
      </c>
      <c r="E90" s="6" t="s">
        <v>34</v>
      </c>
      <c r="F90" s="7" t="n">
        <v>46209</v>
      </c>
      <c r="G90" s="6" t="n">
        <v>6</v>
      </c>
      <c r="H90" s="6" t="n">
        <v>4</v>
      </c>
      <c r="I90" s="6" t="str">
        <f aca="false">TEXT(B90,"YYYY-MM")</f>
        <v>2026-06</v>
      </c>
    </row>
    <row r="91" customFormat="false" ht="15" hidden="false" customHeight="false" outlineLevel="0" collapsed="false">
      <c r="A91" s="6" t="s">
        <v>133</v>
      </c>
      <c r="B91" s="7" t="n">
        <v>46204</v>
      </c>
      <c r="C91" s="6" t="s">
        <v>43</v>
      </c>
      <c r="D91" s="6" t="s">
        <v>36</v>
      </c>
      <c r="E91" s="6" t="s">
        <v>34</v>
      </c>
      <c r="F91" s="7" t="n">
        <v>46207</v>
      </c>
      <c r="G91" s="6" t="n">
        <v>3</v>
      </c>
      <c r="H91" s="6" t="n">
        <v>3</v>
      </c>
      <c r="I91" s="6" t="str">
        <f aca="false">TEXT(B91,"YYYY-MM")</f>
        <v>2026-07</v>
      </c>
    </row>
    <row r="92" customFormat="false" ht="15" hidden="false" customHeight="false" outlineLevel="0" collapsed="false">
      <c r="A92" s="6" t="s">
        <v>134</v>
      </c>
      <c r="B92" s="7" t="n">
        <v>46204</v>
      </c>
      <c r="C92" s="6" t="s">
        <v>29</v>
      </c>
      <c r="D92" s="6" t="s">
        <v>56</v>
      </c>
      <c r="E92" s="6" t="s">
        <v>31</v>
      </c>
      <c r="F92" s="7"/>
      <c r="G92" s="6"/>
      <c r="H92" s="6"/>
      <c r="I92" s="6" t="str">
        <f aca="false">TEXT(B92,"YYYY-MM")</f>
        <v>2026-07</v>
      </c>
    </row>
    <row r="93" customFormat="false" ht="15" hidden="false" customHeight="false" outlineLevel="0" collapsed="false">
      <c r="A93" s="6" t="s">
        <v>135</v>
      </c>
      <c r="B93" s="7" t="n">
        <v>46205</v>
      </c>
      <c r="C93" s="6" t="s">
        <v>38</v>
      </c>
      <c r="D93" s="6" t="s">
        <v>56</v>
      </c>
      <c r="E93" s="6" t="s">
        <v>34</v>
      </c>
      <c r="F93" s="7" t="n">
        <v>46209</v>
      </c>
      <c r="G93" s="6" t="n">
        <v>4</v>
      </c>
      <c r="H93" s="6" t="n">
        <v>2</v>
      </c>
      <c r="I93" s="6" t="str">
        <f aca="false">TEXT(B93,"YYYY-MM")</f>
        <v>2026-07</v>
      </c>
    </row>
    <row r="94" customFormat="false" ht="15" hidden="false" customHeight="false" outlineLevel="0" collapsed="false">
      <c r="A94" s="6" t="s">
        <v>136</v>
      </c>
      <c r="B94" s="7" t="n">
        <v>46205</v>
      </c>
      <c r="C94" s="6" t="s">
        <v>29</v>
      </c>
      <c r="D94" s="6" t="s">
        <v>41</v>
      </c>
      <c r="E94" s="6" t="s">
        <v>34</v>
      </c>
      <c r="F94" s="7" t="n">
        <v>46217</v>
      </c>
      <c r="G94" s="6" t="n">
        <v>12</v>
      </c>
      <c r="H94" s="6" t="n">
        <v>1</v>
      </c>
      <c r="I94" s="6" t="str">
        <f aca="false">TEXT(B94,"YYYY-MM")</f>
        <v>2026-07</v>
      </c>
    </row>
    <row r="95" customFormat="false" ht="15" hidden="false" customHeight="false" outlineLevel="0" collapsed="false">
      <c r="A95" s="6" t="s">
        <v>137</v>
      </c>
      <c r="B95" s="7" t="n">
        <v>46206</v>
      </c>
      <c r="C95" s="6" t="s">
        <v>38</v>
      </c>
      <c r="D95" s="6" t="s">
        <v>56</v>
      </c>
      <c r="E95" s="6" t="s">
        <v>31</v>
      </c>
      <c r="F95" s="7"/>
      <c r="G95" s="6"/>
      <c r="H95" s="6"/>
      <c r="I95" s="6" t="str">
        <f aca="false">TEXT(B95,"YYYY-MM")</f>
        <v>2026-07</v>
      </c>
    </row>
    <row r="96" customFormat="false" ht="15" hidden="false" customHeight="false" outlineLevel="0" collapsed="false">
      <c r="A96" s="6" t="s">
        <v>138</v>
      </c>
      <c r="B96" s="7" t="n">
        <v>46207</v>
      </c>
      <c r="C96" s="6" t="s">
        <v>38</v>
      </c>
      <c r="D96" s="6" t="s">
        <v>41</v>
      </c>
      <c r="E96" s="6" t="s">
        <v>34</v>
      </c>
      <c r="F96" s="7" t="n">
        <v>46219</v>
      </c>
      <c r="G96" s="6" t="n">
        <v>12</v>
      </c>
      <c r="H96" s="6" t="n">
        <v>3</v>
      </c>
      <c r="I96" s="6" t="str">
        <f aca="false">TEXT(B96,"YYYY-MM")</f>
        <v>2026-07</v>
      </c>
    </row>
    <row r="97" customFormat="false" ht="15" hidden="false" customHeight="false" outlineLevel="0" collapsed="false">
      <c r="A97" s="6" t="s">
        <v>139</v>
      </c>
      <c r="B97" s="7" t="n">
        <v>46208</v>
      </c>
      <c r="C97" s="6" t="s">
        <v>38</v>
      </c>
      <c r="D97" s="6" t="s">
        <v>56</v>
      </c>
      <c r="E97" s="6" t="s">
        <v>34</v>
      </c>
      <c r="F97" s="7" t="n">
        <v>46210</v>
      </c>
      <c r="G97" s="6" t="n">
        <v>2</v>
      </c>
      <c r="H97" s="6" t="n">
        <v>3</v>
      </c>
      <c r="I97" s="6" t="str">
        <f aca="false">TEXT(B97,"YYYY-MM")</f>
        <v>2026-07</v>
      </c>
    </row>
    <row r="98" customFormat="false" ht="15" hidden="false" customHeight="false" outlineLevel="0" collapsed="false">
      <c r="A98" s="6" t="s">
        <v>140</v>
      </c>
      <c r="B98" s="7" t="n">
        <v>46209</v>
      </c>
      <c r="C98" s="6" t="s">
        <v>43</v>
      </c>
      <c r="D98" s="6" t="s">
        <v>56</v>
      </c>
      <c r="E98" s="6" t="s">
        <v>34</v>
      </c>
      <c r="F98" s="7" t="n">
        <v>46217</v>
      </c>
      <c r="G98" s="6" t="n">
        <v>8</v>
      </c>
      <c r="H98" s="6" t="n">
        <v>3</v>
      </c>
      <c r="I98" s="6" t="str">
        <f aca="false">TEXT(B98,"YYYY-MM")</f>
        <v>2026-07</v>
      </c>
    </row>
    <row r="99" customFormat="false" ht="15" hidden="false" customHeight="false" outlineLevel="0" collapsed="false">
      <c r="A99" s="6" t="s">
        <v>141</v>
      </c>
      <c r="B99" s="7" t="n">
        <v>46209</v>
      </c>
      <c r="C99" s="6" t="s">
        <v>40</v>
      </c>
      <c r="D99" s="6" t="s">
        <v>36</v>
      </c>
      <c r="E99" s="6" t="s">
        <v>34</v>
      </c>
      <c r="F99" s="7" t="n">
        <v>46212</v>
      </c>
      <c r="G99" s="6" t="n">
        <v>3</v>
      </c>
      <c r="H99" s="6" t="n">
        <v>3</v>
      </c>
      <c r="I99" s="6" t="str">
        <f aca="false">TEXT(B99,"YYYY-MM")</f>
        <v>2026-07</v>
      </c>
    </row>
    <row r="100" customFormat="false" ht="15" hidden="false" customHeight="false" outlineLevel="0" collapsed="false">
      <c r="A100" s="6" t="s">
        <v>142</v>
      </c>
      <c r="B100" s="7" t="n">
        <v>46210</v>
      </c>
      <c r="C100" s="6" t="s">
        <v>38</v>
      </c>
      <c r="D100" s="6" t="s">
        <v>56</v>
      </c>
      <c r="E100" s="6" t="s">
        <v>34</v>
      </c>
      <c r="F100" s="7" t="n">
        <v>46213</v>
      </c>
      <c r="G100" s="6" t="n">
        <v>3</v>
      </c>
      <c r="H100" s="6" t="n">
        <v>5</v>
      </c>
      <c r="I100" s="6" t="str">
        <f aca="false">TEXT(B100,"YYYY-MM")</f>
        <v>2026-07</v>
      </c>
    </row>
    <row r="101" customFormat="false" ht="15" hidden="false" customHeight="false" outlineLevel="0" collapsed="false">
      <c r="A101" s="6" t="s">
        <v>143</v>
      </c>
      <c r="B101" s="7" t="n">
        <v>46210</v>
      </c>
      <c r="C101" s="6" t="s">
        <v>38</v>
      </c>
      <c r="D101" s="6" t="s">
        <v>46</v>
      </c>
      <c r="E101" s="6" t="s">
        <v>34</v>
      </c>
      <c r="F101" s="7" t="n">
        <v>46227</v>
      </c>
      <c r="G101" s="6" t="n">
        <v>17</v>
      </c>
      <c r="H101" s="6" t="n">
        <v>1</v>
      </c>
      <c r="I101" s="6" t="str">
        <f aca="false">TEXT(B101,"YYYY-MM")</f>
        <v>2026-07</v>
      </c>
    </row>
    <row r="102" customFormat="false" ht="15" hidden="false" customHeight="false" outlineLevel="0" collapsed="false">
      <c r="A102" s="6" t="s">
        <v>144</v>
      </c>
      <c r="B102" s="7" t="n">
        <v>46211</v>
      </c>
      <c r="C102" s="6" t="s">
        <v>38</v>
      </c>
      <c r="D102" s="6" t="s">
        <v>56</v>
      </c>
      <c r="E102" s="6" t="s">
        <v>34</v>
      </c>
      <c r="F102" s="7" t="n">
        <v>46219</v>
      </c>
      <c r="G102" s="6" t="n">
        <v>8</v>
      </c>
      <c r="H102" s="6" t="n">
        <v>4</v>
      </c>
      <c r="I102" s="6" t="str">
        <f aca="false">TEXT(B102,"YYYY-MM")</f>
        <v>2026-07</v>
      </c>
    </row>
    <row r="103" customFormat="false" ht="15" hidden="false" customHeight="false" outlineLevel="0" collapsed="false">
      <c r="A103" s="6" t="s">
        <v>145</v>
      </c>
      <c r="B103" s="7" t="n">
        <v>46211</v>
      </c>
      <c r="C103" s="6" t="s">
        <v>52</v>
      </c>
      <c r="D103" s="6" t="s">
        <v>58</v>
      </c>
      <c r="E103" s="6" t="s">
        <v>34</v>
      </c>
      <c r="F103" s="7" t="n">
        <v>46216</v>
      </c>
      <c r="G103" s="6" t="n">
        <v>5</v>
      </c>
      <c r="H103" s="6" t="n">
        <v>4</v>
      </c>
      <c r="I103" s="6" t="str">
        <f aca="false">TEXT(B103,"YYYY-MM")</f>
        <v>2026-07</v>
      </c>
    </row>
    <row r="104" customFormat="false" ht="15" hidden="false" customHeight="false" outlineLevel="0" collapsed="false">
      <c r="A104" s="6" t="s">
        <v>146</v>
      </c>
      <c r="B104" s="7" t="n">
        <v>46212</v>
      </c>
      <c r="C104" s="6" t="s">
        <v>43</v>
      </c>
      <c r="D104" s="6" t="s">
        <v>56</v>
      </c>
      <c r="E104" s="6" t="s">
        <v>34</v>
      </c>
      <c r="F104" s="7" t="n">
        <v>46221</v>
      </c>
      <c r="G104" s="6" t="n">
        <v>9</v>
      </c>
      <c r="H104" s="6" t="n">
        <v>3</v>
      </c>
      <c r="I104" s="6" t="str">
        <f aca="false">TEXT(B104,"YYYY-MM")</f>
        <v>2026-07</v>
      </c>
    </row>
    <row r="105" customFormat="false" ht="15" hidden="false" customHeight="false" outlineLevel="0" collapsed="false">
      <c r="A105" s="6" t="s">
        <v>147</v>
      </c>
      <c r="B105" s="7" t="n">
        <v>46212</v>
      </c>
      <c r="C105" s="6" t="s">
        <v>38</v>
      </c>
      <c r="D105" s="6" t="s">
        <v>36</v>
      </c>
      <c r="E105" s="6" t="s">
        <v>34</v>
      </c>
      <c r="F105" s="7" t="n">
        <v>46215</v>
      </c>
      <c r="G105" s="6" t="n">
        <v>3</v>
      </c>
      <c r="H105" s="6" t="n">
        <v>3</v>
      </c>
      <c r="I105" s="6" t="str">
        <f aca="false">TEXT(B105,"YYYY-MM")</f>
        <v>2026-07</v>
      </c>
    </row>
    <row r="106" customFormat="false" ht="15" hidden="false" customHeight="false" outlineLevel="0" collapsed="false">
      <c r="A106" s="6" t="s">
        <v>148</v>
      </c>
      <c r="B106" s="7" t="n">
        <v>46212</v>
      </c>
      <c r="C106" s="6" t="s">
        <v>52</v>
      </c>
      <c r="D106" s="6" t="s">
        <v>46</v>
      </c>
      <c r="E106" s="6" t="s">
        <v>34</v>
      </c>
      <c r="F106" s="7" t="n">
        <v>46236</v>
      </c>
      <c r="G106" s="6" t="n">
        <v>24</v>
      </c>
      <c r="H106" s="6" t="n">
        <v>1</v>
      </c>
      <c r="I106" s="6" t="str">
        <f aca="false">TEXT(B106,"YYYY-MM")</f>
        <v>2026-07</v>
      </c>
    </row>
    <row r="107" customFormat="false" ht="15" hidden="false" customHeight="false" outlineLevel="0" collapsed="false">
      <c r="A107" s="6" t="s">
        <v>149</v>
      </c>
      <c r="B107" s="7" t="n">
        <v>46213</v>
      </c>
      <c r="C107" s="6" t="s">
        <v>29</v>
      </c>
      <c r="D107" s="6" t="s">
        <v>36</v>
      </c>
      <c r="E107" s="6" t="s">
        <v>34</v>
      </c>
      <c r="F107" s="7" t="n">
        <v>46214</v>
      </c>
      <c r="G107" s="6" t="n">
        <v>1</v>
      </c>
      <c r="H107" s="6" t="n">
        <v>5</v>
      </c>
      <c r="I107" s="6" t="str">
        <f aca="false">TEXT(B107,"YYYY-MM")</f>
        <v>2026-07</v>
      </c>
    </row>
    <row r="108" customFormat="false" ht="15" hidden="false" customHeight="false" outlineLevel="0" collapsed="false">
      <c r="A108" s="6" t="s">
        <v>150</v>
      </c>
      <c r="B108" s="7" t="n">
        <v>46213</v>
      </c>
      <c r="C108" s="6" t="s">
        <v>38</v>
      </c>
      <c r="D108" s="6" t="s">
        <v>56</v>
      </c>
      <c r="E108" s="6" t="s">
        <v>34</v>
      </c>
      <c r="F108" s="7" t="n">
        <v>46217</v>
      </c>
      <c r="G108" s="6" t="n">
        <v>4</v>
      </c>
      <c r="H108" s="6" t="n">
        <v>5</v>
      </c>
      <c r="I108" s="6" t="str">
        <f aca="false">TEXT(B108,"YYYY-MM")</f>
        <v>2026-07</v>
      </c>
    </row>
    <row r="109" customFormat="false" ht="15" hidden="false" customHeight="false" outlineLevel="0" collapsed="false">
      <c r="A109" s="6" t="s">
        <v>151</v>
      </c>
      <c r="B109" s="7" t="n">
        <v>46214</v>
      </c>
      <c r="C109" s="6" t="s">
        <v>29</v>
      </c>
      <c r="D109" s="6" t="s">
        <v>56</v>
      </c>
      <c r="E109" s="6" t="s">
        <v>34</v>
      </c>
      <c r="F109" s="7" t="n">
        <v>46218</v>
      </c>
      <c r="G109" s="6" t="n">
        <v>4</v>
      </c>
      <c r="H109" s="6" t="n">
        <v>4</v>
      </c>
      <c r="I109" s="6" t="str">
        <f aca="false">TEXT(B109,"YYYY-MM")</f>
        <v>2026-07</v>
      </c>
    </row>
    <row r="110" customFormat="false" ht="15" hidden="false" customHeight="false" outlineLevel="0" collapsed="false">
      <c r="A110" s="6" t="s">
        <v>152</v>
      </c>
      <c r="B110" s="7" t="n">
        <v>46214</v>
      </c>
      <c r="C110" s="6" t="s">
        <v>40</v>
      </c>
      <c r="D110" s="6" t="s">
        <v>30</v>
      </c>
      <c r="E110" s="6" t="s">
        <v>34</v>
      </c>
      <c r="F110" s="7" t="n">
        <v>46216</v>
      </c>
      <c r="G110" s="6" t="n">
        <v>2</v>
      </c>
      <c r="H110" s="6" t="n">
        <v>4</v>
      </c>
      <c r="I110" s="6" t="str">
        <f aca="false">TEXT(B110,"YYYY-MM")</f>
        <v>2026-07</v>
      </c>
    </row>
    <row r="111" customFormat="false" ht="15" hidden="false" customHeight="false" outlineLevel="0" collapsed="false">
      <c r="A111" s="6" t="s">
        <v>153</v>
      </c>
      <c r="B111" s="7" t="n">
        <v>46215</v>
      </c>
      <c r="C111" s="6" t="s">
        <v>38</v>
      </c>
      <c r="D111" s="6" t="s">
        <v>44</v>
      </c>
      <c r="E111" s="6" t="s">
        <v>34</v>
      </c>
      <c r="F111" s="7" t="n">
        <v>46218</v>
      </c>
      <c r="G111" s="6" t="n">
        <v>3</v>
      </c>
      <c r="H111" s="6" t="n">
        <v>3</v>
      </c>
      <c r="I111" s="6" t="str">
        <f aca="false">TEXT(B111,"YYYY-MM")</f>
        <v>2026-07</v>
      </c>
    </row>
    <row r="112" customFormat="false" ht="15" hidden="false" customHeight="false" outlineLevel="0" collapsed="false">
      <c r="A112" s="6" t="s">
        <v>154</v>
      </c>
      <c r="B112" s="7" t="n">
        <v>46215</v>
      </c>
      <c r="C112" s="6" t="s">
        <v>52</v>
      </c>
      <c r="D112" s="6" t="s">
        <v>46</v>
      </c>
      <c r="E112" s="6" t="s">
        <v>34</v>
      </c>
      <c r="F112" s="7" t="n">
        <v>46233</v>
      </c>
      <c r="G112" s="6" t="n">
        <v>18</v>
      </c>
      <c r="H112" s="6" t="n">
        <v>3</v>
      </c>
      <c r="I112" s="6" t="str">
        <f aca="false">TEXT(B112,"YYYY-MM")</f>
        <v>2026-07</v>
      </c>
    </row>
    <row r="113" customFormat="false" ht="15" hidden="false" customHeight="false" outlineLevel="0" collapsed="false">
      <c r="A113" s="6" t="s">
        <v>155</v>
      </c>
      <c r="B113" s="7" t="n">
        <v>46215</v>
      </c>
      <c r="C113" s="6" t="s">
        <v>70</v>
      </c>
      <c r="D113" s="6" t="s">
        <v>36</v>
      </c>
      <c r="E113" s="6" t="s">
        <v>34</v>
      </c>
      <c r="F113" s="7" t="n">
        <v>46216</v>
      </c>
      <c r="G113" s="6" t="n">
        <v>1</v>
      </c>
      <c r="H113" s="6" t="n">
        <v>3</v>
      </c>
      <c r="I113" s="6" t="str">
        <f aca="false">TEXT(B113,"YYYY-MM")</f>
        <v>2026-07</v>
      </c>
    </row>
    <row r="114" customFormat="false" ht="15" hidden="false" customHeight="false" outlineLevel="0" collapsed="false">
      <c r="A114" s="6" t="s">
        <v>156</v>
      </c>
      <c r="B114" s="7" t="n">
        <v>46217</v>
      </c>
      <c r="C114" s="6" t="s">
        <v>70</v>
      </c>
      <c r="D114" s="6" t="s">
        <v>36</v>
      </c>
      <c r="E114" s="6" t="s">
        <v>31</v>
      </c>
      <c r="F114" s="7"/>
      <c r="G114" s="6"/>
      <c r="H114" s="6"/>
      <c r="I114" s="6" t="str">
        <f aca="false">TEXT(B114,"YYYY-MM")</f>
        <v>2026-07</v>
      </c>
    </row>
    <row r="115" customFormat="false" ht="15" hidden="false" customHeight="false" outlineLevel="0" collapsed="false">
      <c r="A115" s="6" t="s">
        <v>157</v>
      </c>
      <c r="B115" s="7" t="n">
        <v>46217</v>
      </c>
      <c r="C115" s="6" t="s">
        <v>70</v>
      </c>
      <c r="D115" s="6" t="s">
        <v>56</v>
      </c>
      <c r="E115" s="6" t="s">
        <v>34</v>
      </c>
      <c r="F115" s="7" t="n">
        <v>46225</v>
      </c>
      <c r="G115" s="6" t="n">
        <v>8</v>
      </c>
      <c r="H115" s="6" t="n">
        <v>3</v>
      </c>
      <c r="I115" s="6" t="str">
        <f aca="false">TEXT(B115,"YYYY-MM")</f>
        <v>2026-07</v>
      </c>
    </row>
    <row r="116" customFormat="false" ht="15" hidden="false" customHeight="false" outlineLevel="0" collapsed="false">
      <c r="A116" s="6" t="s">
        <v>158</v>
      </c>
      <c r="B116" s="7" t="n">
        <v>46218</v>
      </c>
      <c r="C116" s="6" t="s">
        <v>29</v>
      </c>
      <c r="D116" s="6" t="s">
        <v>58</v>
      </c>
      <c r="E116" s="6" t="s">
        <v>31</v>
      </c>
      <c r="F116" s="7"/>
      <c r="G116" s="6"/>
      <c r="H116" s="6"/>
      <c r="I116" s="6" t="str">
        <f aca="false">TEXT(B116,"YYYY-MM")</f>
        <v>2026-07</v>
      </c>
    </row>
    <row r="117" customFormat="false" ht="15" hidden="false" customHeight="false" outlineLevel="0" collapsed="false">
      <c r="A117" s="6" t="s">
        <v>159</v>
      </c>
      <c r="B117" s="7" t="n">
        <v>46219</v>
      </c>
      <c r="C117" s="6" t="s">
        <v>40</v>
      </c>
      <c r="D117" s="6" t="s">
        <v>56</v>
      </c>
      <c r="E117" s="6" t="s">
        <v>34</v>
      </c>
      <c r="F117" s="7" t="n">
        <v>46224</v>
      </c>
      <c r="G117" s="6" t="n">
        <v>5</v>
      </c>
      <c r="H117" s="6" t="n">
        <v>2</v>
      </c>
      <c r="I117" s="6" t="str">
        <f aca="false">TEXT(B117,"YYYY-MM")</f>
        <v>2026-07</v>
      </c>
    </row>
    <row r="118" customFormat="false" ht="15" hidden="false" customHeight="false" outlineLevel="0" collapsed="false">
      <c r="A118" s="6" t="s">
        <v>160</v>
      </c>
      <c r="B118" s="7" t="n">
        <v>46219</v>
      </c>
      <c r="C118" s="6" t="s">
        <v>29</v>
      </c>
      <c r="D118" s="6" t="s">
        <v>44</v>
      </c>
      <c r="E118" s="6" t="s">
        <v>34</v>
      </c>
      <c r="F118" s="7" t="n">
        <v>46221</v>
      </c>
      <c r="G118" s="6" t="n">
        <v>2</v>
      </c>
      <c r="H118" s="6" t="n">
        <v>3</v>
      </c>
      <c r="I118" s="6" t="str">
        <f aca="false">TEXT(B118,"YYYY-MM")</f>
        <v>2026-07</v>
      </c>
    </row>
    <row r="119" customFormat="false" ht="15" hidden="false" customHeight="false" outlineLevel="0" collapsed="false">
      <c r="A119" s="6" t="s">
        <v>161</v>
      </c>
      <c r="B119" s="7" t="n">
        <v>46220</v>
      </c>
      <c r="C119" s="6" t="s">
        <v>40</v>
      </c>
      <c r="D119" s="6" t="s">
        <v>33</v>
      </c>
      <c r="E119" s="6" t="s">
        <v>34</v>
      </c>
      <c r="F119" s="7" t="n">
        <v>46221</v>
      </c>
      <c r="G119" s="6" t="n">
        <v>1</v>
      </c>
      <c r="H119" s="6" t="n">
        <v>2</v>
      </c>
      <c r="I119" s="6" t="str">
        <f aca="false">TEXT(B119,"YYYY-MM")</f>
        <v>2026-07</v>
      </c>
    </row>
    <row r="120" customFormat="false" ht="15" hidden="false" customHeight="false" outlineLevel="0" collapsed="false">
      <c r="A120" s="6" t="s">
        <v>162</v>
      </c>
      <c r="B120" s="7" t="n">
        <v>46220</v>
      </c>
      <c r="C120" s="6" t="s">
        <v>29</v>
      </c>
      <c r="D120" s="6" t="s">
        <v>33</v>
      </c>
      <c r="E120" s="6" t="s">
        <v>34</v>
      </c>
      <c r="F120" s="7" t="n">
        <v>46223</v>
      </c>
      <c r="G120" s="6" t="n">
        <v>3</v>
      </c>
      <c r="H120" s="6" t="n">
        <v>3</v>
      </c>
      <c r="I120" s="6" t="str">
        <f aca="false">TEXT(B120,"YYYY-MM")</f>
        <v>2026-07</v>
      </c>
    </row>
    <row r="121" customFormat="false" ht="15" hidden="false" customHeight="false" outlineLevel="0" collapsed="false">
      <c r="A121" s="6" t="s">
        <v>163</v>
      </c>
      <c r="B121" s="7" t="n">
        <v>46222</v>
      </c>
      <c r="C121" s="6" t="s">
        <v>38</v>
      </c>
      <c r="D121" s="6" t="s">
        <v>36</v>
      </c>
      <c r="E121" s="6" t="s">
        <v>34</v>
      </c>
      <c r="F121" s="7" t="n">
        <v>46223</v>
      </c>
      <c r="G121" s="6" t="n">
        <v>1</v>
      </c>
      <c r="H121" s="6" t="n">
        <v>2</v>
      </c>
      <c r="I121" s="6" t="str">
        <f aca="false">TEXT(B121,"YYYY-MM")</f>
        <v>2026-07</v>
      </c>
    </row>
    <row r="122" customFormat="false" ht="15" hidden="false" customHeight="false" outlineLevel="0" collapsed="false">
      <c r="A122" s="6" t="s">
        <v>164</v>
      </c>
      <c r="B122" s="7" t="n">
        <v>46223</v>
      </c>
      <c r="C122" s="6" t="s">
        <v>29</v>
      </c>
      <c r="D122" s="6" t="s">
        <v>46</v>
      </c>
      <c r="E122" s="6" t="s">
        <v>34</v>
      </c>
      <c r="F122" s="7" t="n">
        <v>46248</v>
      </c>
      <c r="G122" s="6" t="n">
        <v>25</v>
      </c>
      <c r="H122" s="6" t="n">
        <v>3</v>
      </c>
      <c r="I122" s="6" t="str">
        <f aca="false">TEXT(B122,"YYYY-MM")</f>
        <v>2026-07</v>
      </c>
    </row>
    <row r="123" customFormat="false" ht="15" hidden="false" customHeight="false" outlineLevel="0" collapsed="false">
      <c r="A123" s="6" t="s">
        <v>165</v>
      </c>
      <c r="B123" s="7" t="n">
        <v>46224</v>
      </c>
      <c r="C123" s="6" t="s">
        <v>29</v>
      </c>
      <c r="D123" s="6" t="s">
        <v>56</v>
      </c>
      <c r="E123" s="6" t="s">
        <v>34</v>
      </c>
      <c r="F123" s="7" t="n">
        <v>46233</v>
      </c>
      <c r="G123" s="6" t="n">
        <v>9</v>
      </c>
      <c r="H123" s="6" t="n">
        <v>3</v>
      </c>
      <c r="I123" s="6" t="str">
        <f aca="false">TEXT(B123,"YYYY-MM")</f>
        <v>2026-07</v>
      </c>
    </row>
    <row r="124" customFormat="false" ht="15" hidden="false" customHeight="false" outlineLevel="0" collapsed="false">
      <c r="A124" s="6" t="s">
        <v>166</v>
      </c>
      <c r="B124" s="7" t="n">
        <v>46224</v>
      </c>
      <c r="C124" s="6" t="s">
        <v>43</v>
      </c>
      <c r="D124" s="6" t="s">
        <v>36</v>
      </c>
      <c r="E124" s="6" t="s">
        <v>34</v>
      </c>
      <c r="F124" s="7" t="n">
        <v>46225</v>
      </c>
      <c r="G124" s="6" t="n">
        <v>1</v>
      </c>
      <c r="H124" s="6" t="n">
        <v>3</v>
      </c>
      <c r="I124" s="6" t="str">
        <f aca="false">TEXT(B124,"YYYY-MM")</f>
        <v>2026-07</v>
      </c>
    </row>
    <row r="125" customFormat="false" ht="15" hidden="false" customHeight="false" outlineLevel="0" collapsed="false">
      <c r="A125" s="6" t="s">
        <v>167</v>
      </c>
      <c r="B125" s="7" t="n">
        <v>46224</v>
      </c>
      <c r="C125" s="6" t="s">
        <v>52</v>
      </c>
      <c r="D125" s="6" t="s">
        <v>56</v>
      </c>
      <c r="E125" s="6" t="s">
        <v>34</v>
      </c>
      <c r="F125" s="7" t="n">
        <v>46233</v>
      </c>
      <c r="G125" s="6" t="n">
        <v>9</v>
      </c>
      <c r="H125" s="6" t="n">
        <v>2</v>
      </c>
      <c r="I125" s="6" t="str">
        <f aca="false">TEXT(B125,"YYYY-MM")</f>
        <v>2026-07</v>
      </c>
    </row>
    <row r="126" customFormat="false" ht="15" hidden="false" customHeight="false" outlineLevel="0" collapsed="false">
      <c r="A126" s="6" t="s">
        <v>168</v>
      </c>
      <c r="B126" s="7" t="n">
        <v>46225</v>
      </c>
      <c r="C126" s="6" t="s">
        <v>29</v>
      </c>
      <c r="D126" s="6" t="s">
        <v>30</v>
      </c>
      <c r="E126" s="6" t="s">
        <v>34</v>
      </c>
      <c r="F126" s="7" t="n">
        <v>46228</v>
      </c>
      <c r="G126" s="6" t="n">
        <v>3</v>
      </c>
      <c r="H126" s="6" t="n">
        <v>2</v>
      </c>
      <c r="I126" s="6" t="str">
        <f aca="false">TEXT(B126,"YYYY-MM")</f>
        <v>2026-07</v>
      </c>
    </row>
    <row r="127" customFormat="false" ht="15" hidden="false" customHeight="false" outlineLevel="0" collapsed="false">
      <c r="A127" s="6" t="s">
        <v>169</v>
      </c>
      <c r="B127" s="7" t="n">
        <v>46225</v>
      </c>
      <c r="C127" s="6" t="s">
        <v>52</v>
      </c>
      <c r="D127" s="6" t="s">
        <v>56</v>
      </c>
      <c r="E127" s="6" t="s">
        <v>34</v>
      </c>
      <c r="F127" s="7" t="n">
        <v>46231</v>
      </c>
      <c r="G127" s="6" t="n">
        <v>6</v>
      </c>
      <c r="H127" s="6" t="n">
        <v>1</v>
      </c>
      <c r="I127" s="6" t="str">
        <f aca="false">TEXT(B127,"YYYY-MM")</f>
        <v>2026-07</v>
      </c>
    </row>
    <row r="128" customFormat="false" ht="15" hidden="false" customHeight="false" outlineLevel="0" collapsed="false">
      <c r="A128" s="6" t="s">
        <v>170</v>
      </c>
      <c r="B128" s="7" t="n">
        <v>46227</v>
      </c>
      <c r="C128" s="6" t="s">
        <v>40</v>
      </c>
      <c r="D128" s="6" t="s">
        <v>58</v>
      </c>
      <c r="E128" s="6" t="s">
        <v>34</v>
      </c>
      <c r="F128" s="7" t="n">
        <v>46231</v>
      </c>
      <c r="G128" s="6" t="n">
        <v>4</v>
      </c>
      <c r="H128" s="6" t="n">
        <v>4</v>
      </c>
      <c r="I128" s="6" t="str">
        <f aca="false">TEXT(B128,"YYYY-MM")</f>
        <v>2026-07</v>
      </c>
    </row>
    <row r="129" customFormat="false" ht="15" hidden="false" customHeight="false" outlineLevel="0" collapsed="false">
      <c r="A129" s="6" t="s">
        <v>171</v>
      </c>
      <c r="B129" s="7" t="n">
        <v>46227</v>
      </c>
      <c r="C129" s="6" t="s">
        <v>40</v>
      </c>
      <c r="D129" s="6" t="s">
        <v>56</v>
      </c>
      <c r="E129" s="6" t="s">
        <v>34</v>
      </c>
      <c r="F129" s="7" t="n">
        <v>46232</v>
      </c>
      <c r="G129" s="6" t="n">
        <v>5</v>
      </c>
      <c r="H129" s="6" t="n">
        <v>4</v>
      </c>
      <c r="I129" s="6" t="str">
        <f aca="false">TEXT(B129,"YYYY-MM")</f>
        <v>2026-07</v>
      </c>
    </row>
    <row r="130" customFormat="false" ht="15" hidden="false" customHeight="false" outlineLevel="0" collapsed="false">
      <c r="A130" s="6" t="s">
        <v>172</v>
      </c>
      <c r="B130" s="7" t="n">
        <v>46227</v>
      </c>
      <c r="C130" s="6" t="s">
        <v>38</v>
      </c>
      <c r="D130" s="6" t="s">
        <v>36</v>
      </c>
      <c r="E130" s="6" t="s">
        <v>34</v>
      </c>
      <c r="F130" s="7" t="n">
        <v>46229</v>
      </c>
      <c r="G130" s="6" t="n">
        <v>2</v>
      </c>
      <c r="H130" s="6" t="n">
        <v>1</v>
      </c>
      <c r="I130" s="6" t="str">
        <f aca="false">TEXT(B130,"YYYY-MM")</f>
        <v>2026-07</v>
      </c>
    </row>
    <row r="131" customFormat="false" ht="15" hidden="false" customHeight="false" outlineLevel="0" collapsed="false">
      <c r="A131" s="6" t="s">
        <v>173</v>
      </c>
      <c r="B131" s="7" t="n">
        <v>46228</v>
      </c>
      <c r="C131" s="6" t="s">
        <v>29</v>
      </c>
      <c r="D131" s="6" t="s">
        <v>46</v>
      </c>
      <c r="E131" s="6" t="s">
        <v>34</v>
      </c>
      <c r="F131" s="7" t="n">
        <v>46250</v>
      </c>
      <c r="G131" s="6" t="n">
        <v>22</v>
      </c>
      <c r="H131" s="6" t="n">
        <v>3</v>
      </c>
      <c r="I131" s="6" t="str">
        <f aca="false">TEXT(B131,"YYYY-MM")</f>
        <v>2026-07</v>
      </c>
    </row>
    <row r="132" customFormat="false" ht="15" hidden="false" customHeight="false" outlineLevel="0" collapsed="false">
      <c r="A132" s="6" t="s">
        <v>174</v>
      </c>
      <c r="B132" s="7" t="n">
        <v>46229</v>
      </c>
      <c r="C132" s="6" t="s">
        <v>38</v>
      </c>
      <c r="D132" s="6" t="s">
        <v>56</v>
      </c>
      <c r="E132" s="6" t="s">
        <v>34</v>
      </c>
      <c r="F132" s="7" t="n">
        <v>46233</v>
      </c>
      <c r="G132" s="6" t="n">
        <v>4</v>
      </c>
      <c r="H132" s="6" t="n">
        <v>5</v>
      </c>
      <c r="I132" s="6" t="str">
        <f aca="false">TEXT(B132,"YYYY-MM")</f>
        <v>2026-07</v>
      </c>
    </row>
    <row r="133" customFormat="false" ht="15" hidden="false" customHeight="false" outlineLevel="0" collapsed="false">
      <c r="A133" s="6" t="s">
        <v>175</v>
      </c>
      <c r="B133" s="7" t="n">
        <v>46230</v>
      </c>
      <c r="C133" s="6" t="s">
        <v>43</v>
      </c>
      <c r="D133" s="6" t="s">
        <v>41</v>
      </c>
      <c r="E133" s="6" t="s">
        <v>34</v>
      </c>
      <c r="F133" s="7" t="n">
        <v>46233</v>
      </c>
      <c r="G133" s="6" t="n">
        <v>3</v>
      </c>
      <c r="H133" s="6" t="n">
        <v>5</v>
      </c>
      <c r="I133" s="6" t="str">
        <f aca="false">TEXT(B133,"YYYY-MM")</f>
        <v>2026-07</v>
      </c>
    </row>
    <row r="134" customFormat="false" ht="15" hidden="false" customHeight="false" outlineLevel="0" collapsed="false">
      <c r="A134" s="6" t="s">
        <v>176</v>
      </c>
      <c r="B134" s="7" t="n">
        <v>46230</v>
      </c>
      <c r="C134" s="6" t="s">
        <v>38</v>
      </c>
      <c r="D134" s="6" t="s">
        <v>56</v>
      </c>
      <c r="E134" s="6" t="s">
        <v>34</v>
      </c>
      <c r="F134" s="7" t="n">
        <v>46237</v>
      </c>
      <c r="G134" s="6" t="n">
        <v>7</v>
      </c>
      <c r="H134" s="6" t="n">
        <v>3</v>
      </c>
      <c r="I134" s="6" t="str">
        <f aca="false">TEXT(B134,"YYYY-MM")</f>
        <v>2026-07</v>
      </c>
    </row>
    <row r="135" customFormat="false" ht="15" hidden="false" customHeight="false" outlineLevel="0" collapsed="false">
      <c r="A135" s="6" t="s">
        <v>177</v>
      </c>
      <c r="B135" s="7" t="n">
        <v>46231</v>
      </c>
      <c r="C135" s="6" t="s">
        <v>52</v>
      </c>
      <c r="D135" s="6" t="s">
        <v>41</v>
      </c>
      <c r="E135" s="6" t="s">
        <v>34</v>
      </c>
      <c r="F135" s="7" t="n">
        <v>46235</v>
      </c>
      <c r="G135" s="6" t="n">
        <v>4</v>
      </c>
      <c r="H135" s="6" t="n">
        <v>4</v>
      </c>
      <c r="I135" s="6" t="str">
        <f aca="false">TEXT(B135,"YYYY-MM")</f>
        <v>2026-07</v>
      </c>
    </row>
    <row r="136" customFormat="false" ht="15" hidden="false" customHeight="false" outlineLevel="0" collapsed="false">
      <c r="A136" s="6" t="s">
        <v>178</v>
      </c>
      <c r="B136" s="7" t="n">
        <v>46231</v>
      </c>
      <c r="C136" s="6" t="s">
        <v>70</v>
      </c>
      <c r="D136" s="6" t="s">
        <v>58</v>
      </c>
      <c r="E136" s="6" t="s">
        <v>34</v>
      </c>
      <c r="F136" s="7" t="n">
        <v>46233</v>
      </c>
      <c r="G136" s="6" t="n">
        <v>2</v>
      </c>
      <c r="H136" s="6" t="n">
        <v>5</v>
      </c>
      <c r="I136" s="6" t="str">
        <f aca="false">TEXT(B136,"YYYY-MM")</f>
        <v>2026-07</v>
      </c>
    </row>
    <row r="137" customFormat="false" ht="15" hidden="false" customHeight="false" outlineLevel="0" collapsed="false">
      <c r="A137" s="6" t="s">
        <v>179</v>
      </c>
      <c r="B137" s="7" t="n">
        <v>46231</v>
      </c>
      <c r="C137" s="6" t="s">
        <v>40</v>
      </c>
      <c r="D137" s="6" t="s">
        <v>46</v>
      </c>
      <c r="E137" s="6" t="s">
        <v>34</v>
      </c>
      <c r="F137" s="7" t="n">
        <v>46240</v>
      </c>
      <c r="G137" s="6" t="n">
        <v>9</v>
      </c>
      <c r="H137" s="6" t="n">
        <v>5</v>
      </c>
      <c r="I137" s="6" t="str">
        <f aca="false">TEXT(B137,"YYYY-MM")</f>
        <v>2026-07</v>
      </c>
    </row>
    <row r="138" customFormat="false" ht="15" hidden="false" customHeight="false" outlineLevel="0" collapsed="false">
      <c r="A138" s="6" t="s">
        <v>180</v>
      </c>
      <c r="B138" s="7" t="n">
        <v>46232</v>
      </c>
      <c r="C138" s="6" t="s">
        <v>43</v>
      </c>
      <c r="D138" s="6" t="s">
        <v>36</v>
      </c>
      <c r="E138" s="6" t="s">
        <v>34</v>
      </c>
      <c r="F138" s="7" t="n">
        <v>46235</v>
      </c>
      <c r="G138" s="6" t="n">
        <v>3</v>
      </c>
      <c r="H138" s="6" t="n">
        <v>3</v>
      </c>
      <c r="I138" s="6" t="str">
        <f aca="false">TEXT(B138,"YYYY-MM")</f>
        <v>2026-07</v>
      </c>
    </row>
    <row r="139" customFormat="false" ht="15" hidden="false" customHeight="false" outlineLevel="0" collapsed="false">
      <c r="A139" s="6" t="s">
        <v>181</v>
      </c>
      <c r="B139" s="7" t="n">
        <v>46234</v>
      </c>
      <c r="C139" s="6" t="s">
        <v>40</v>
      </c>
      <c r="D139" s="6" t="s">
        <v>46</v>
      </c>
      <c r="E139" s="6" t="s">
        <v>34</v>
      </c>
      <c r="F139" s="7" t="n">
        <v>46247</v>
      </c>
      <c r="G139" s="6" t="n">
        <v>13</v>
      </c>
      <c r="H139" s="6" t="n">
        <v>5</v>
      </c>
      <c r="I139" s="6" t="str">
        <f aca="false">TEXT(B139,"YYYY-MM")</f>
        <v>2026-07</v>
      </c>
    </row>
    <row r="140" customFormat="false" ht="15" hidden="false" customHeight="false" outlineLevel="0" collapsed="false">
      <c r="A140" s="6" t="s">
        <v>182</v>
      </c>
      <c r="B140" s="7" t="n">
        <v>46235</v>
      </c>
      <c r="C140" s="6" t="s">
        <v>52</v>
      </c>
      <c r="D140" s="6" t="s">
        <v>56</v>
      </c>
      <c r="E140" s="6" t="s">
        <v>34</v>
      </c>
      <c r="F140" s="7" t="n">
        <v>46240</v>
      </c>
      <c r="G140" s="6" t="n">
        <v>5</v>
      </c>
      <c r="H140" s="6" t="n">
        <v>4</v>
      </c>
      <c r="I140" s="6" t="str">
        <f aca="false">TEXT(B140,"YYYY-MM")</f>
        <v>2026-08</v>
      </c>
    </row>
    <row r="141" customFormat="false" ht="15" hidden="false" customHeight="false" outlineLevel="0" collapsed="false">
      <c r="A141" s="6" t="s">
        <v>183</v>
      </c>
      <c r="B141" s="7" t="n">
        <v>46237</v>
      </c>
      <c r="C141" s="6" t="s">
        <v>29</v>
      </c>
      <c r="D141" s="6" t="s">
        <v>44</v>
      </c>
      <c r="E141" s="6" t="s">
        <v>34</v>
      </c>
      <c r="F141" s="7" t="n">
        <v>46239</v>
      </c>
      <c r="G141" s="6" t="n">
        <v>2</v>
      </c>
      <c r="H141" s="6" t="n">
        <v>1</v>
      </c>
      <c r="I141" s="6" t="str">
        <f aca="false">TEXT(B141,"YYYY-MM")</f>
        <v>2026-08</v>
      </c>
    </row>
    <row r="142" customFormat="false" ht="15" hidden="false" customHeight="false" outlineLevel="0" collapsed="false">
      <c r="A142" s="6" t="s">
        <v>184</v>
      </c>
      <c r="B142" s="7" t="n">
        <v>46237</v>
      </c>
      <c r="C142" s="6" t="s">
        <v>43</v>
      </c>
      <c r="D142" s="6" t="s">
        <v>41</v>
      </c>
      <c r="E142" s="6" t="s">
        <v>34</v>
      </c>
      <c r="F142" s="7" t="n">
        <v>46247</v>
      </c>
      <c r="G142" s="6" t="n">
        <v>10</v>
      </c>
      <c r="H142" s="6" t="n">
        <v>1</v>
      </c>
      <c r="I142" s="6" t="str">
        <f aca="false">TEXT(B142,"YYYY-MM")</f>
        <v>2026-08</v>
      </c>
    </row>
    <row r="143" customFormat="false" ht="15" hidden="false" customHeight="false" outlineLevel="0" collapsed="false">
      <c r="A143" s="6" t="s">
        <v>185</v>
      </c>
      <c r="B143" s="7" t="n">
        <v>46238</v>
      </c>
      <c r="C143" s="6" t="s">
        <v>29</v>
      </c>
      <c r="D143" s="6" t="s">
        <v>56</v>
      </c>
      <c r="E143" s="6" t="s">
        <v>34</v>
      </c>
      <c r="F143" s="7" t="n">
        <v>46242</v>
      </c>
      <c r="G143" s="6" t="n">
        <v>4</v>
      </c>
      <c r="H143" s="6" t="n">
        <v>2</v>
      </c>
      <c r="I143" s="6" t="str">
        <f aca="false">TEXT(B143,"YYYY-MM")</f>
        <v>2026-08</v>
      </c>
    </row>
    <row r="144" customFormat="false" ht="15" hidden="false" customHeight="false" outlineLevel="0" collapsed="false">
      <c r="A144" s="6" t="s">
        <v>186</v>
      </c>
      <c r="B144" s="7" t="n">
        <v>46239</v>
      </c>
      <c r="C144" s="6" t="s">
        <v>38</v>
      </c>
      <c r="D144" s="6" t="s">
        <v>41</v>
      </c>
      <c r="E144" s="6" t="s">
        <v>34</v>
      </c>
      <c r="F144" s="7" t="n">
        <v>46244</v>
      </c>
      <c r="G144" s="6" t="n">
        <v>5</v>
      </c>
      <c r="H144" s="6" t="n">
        <v>1</v>
      </c>
      <c r="I144" s="6" t="str">
        <f aca="false">TEXT(B144,"YYYY-MM")</f>
        <v>2026-08</v>
      </c>
    </row>
    <row r="145" customFormat="false" ht="15" hidden="false" customHeight="false" outlineLevel="0" collapsed="false">
      <c r="A145" s="6" t="s">
        <v>187</v>
      </c>
      <c r="B145" s="7" t="n">
        <v>46241</v>
      </c>
      <c r="C145" s="6" t="s">
        <v>29</v>
      </c>
      <c r="D145" s="6" t="s">
        <v>46</v>
      </c>
      <c r="E145" s="6" t="s">
        <v>34</v>
      </c>
      <c r="F145" s="7" t="n">
        <v>46255</v>
      </c>
      <c r="G145" s="6" t="n">
        <v>14</v>
      </c>
      <c r="H145" s="6" t="n">
        <v>4</v>
      </c>
      <c r="I145" s="6" t="str">
        <f aca="false">TEXT(B145,"YYYY-MM")</f>
        <v>2026-08</v>
      </c>
    </row>
    <row r="146" customFormat="false" ht="15" hidden="false" customHeight="false" outlineLevel="0" collapsed="false">
      <c r="A146" s="6" t="s">
        <v>188</v>
      </c>
      <c r="B146" s="7" t="n">
        <v>46242</v>
      </c>
      <c r="C146" s="6" t="s">
        <v>38</v>
      </c>
      <c r="D146" s="6" t="s">
        <v>56</v>
      </c>
      <c r="E146" s="6" t="s">
        <v>34</v>
      </c>
      <c r="F146" s="7" t="n">
        <v>46245</v>
      </c>
      <c r="G146" s="6" t="n">
        <v>3</v>
      </c>
      <c r="H146" s="6" t="n">
        <v>5</v>
      </c>
      <c r="I146" s="6" t="str">
        <f aca="false">TEXT(B146,"YYYY-MM")</f>
        <v>2026-08</v>
      </c>
    </row>
    <row r="147" customFormat="false" ht="15" hidden="false" customHeight="false" outlineLevel="0" collapsed="false">
      <c r="A147" s="6" t="s">
        <v>189</v>
      </c>
      <c r="B147" s="7" t="n">
        <v>46244</v>
      </c>
      <c r="C147" s="6" t="s">
        <v>38</v>
      </c>
      <c r="D147" s="6" t="s">
        <v>44</v>
      </c>
      <c r="E147" s="6" t="s">
        <v>34</v>
      </c>
      <c r="F147" s="7" t="n">
        <v>46247</v>
      </c>
      <c r="G147" s="6" t="n">
        <v>3</v>
      </c>
      <c r="H147" s="6" t="n">
        <v>3</v>
      </c>
      <c r="I147" s="6" t="str">
        <f aca="false">TEXT(B147,"YYYY-MM")</f>
        <v>2026-08</v>
      </c>
    </row>
    <row r="148" customFormat="false" ht="15" hidden="false" customHeight="false" outlineLevel="0" collapsed="false">
      <c r="A148" s="6" t="s">
        <v>190</v>
      </c>
      <c r="B148" s="7" t="n">
        <v>46246</v>
      </c>
      <c r="C148" s="6" t="s">
        <v>40</v>
      </c>
      <c r="D148" s="6" t="s">
        <v>33</v>
      </c>
      <c r="E148" s="6" t="s">
        <v>34</v>
      </c>
      <c r="F148" s="7" t="n">
        <v>46251</v>
      </c>
      <c r="G148" s="6" t="n">
        <v>5</v>
      </c>
      <c r="H148" s="6" t="n">
        <v>3</v>
      </c>
      <c r="I148" s="6" t="str">
        <f aca="false">TEXT(B148,"YYYY-MM")</f>
        <v>2026-08</v>
      </c>
    </row>
    <row r="149" customFormat="false" ht="15" hidden="false" customHeight="false" outlineLevel="0" collapsed="false">
      <c r="A149" s="6" t="s">
        <v>191</v>
      </c>
      <c r="B149" s="7" t="n">
        <v>46246</v>
      </c>
      <c r="C149" s="6" t="s">
        <v>70</v>
      </c>
      <c r="D149" s="6" t="s">
        <v>46</v>
      </c>
      <c r="E149" s="6" t="s">
        <v>34</v>
      </c>
      <c r="F149" s="7" t="n">
        <v>46270</v>
      </c>
      <c r="G149" s="6" t="n">
        <v>24</v>
      </c>
      <c r="H149" s="6" t="n">
        <v>1</v>
      </c>
      <c r="I149" s="6" t="str">
        <f aca="false">TEXT(B149,"YYYY-MM")</f>
        <v>2026-08</v>
      </c>
    </row>
    <row r="150" customFormat="false" ht="15" hidden="false" customHeight="false" outlineLevel="0" collapsed="false">
      <c r="A150" s="6" t="s">
        <v>192</v>
      </c>
      <c r="B150" s="7" t="n">
        <v>46247</v>
      </c>
      <c r="C150" s="6" t="s">
        <v>70</v>
      </c>
      <c r="D150" s="6" t="s">
        <v>46</v>
      </c>
      <c r="E150" s="6" t="s">
        <v>34</v>
      </c>
      <c r="F150" s="7" t="n">
        <v>46269</v>
      </c>
      <c r="G150" s="6" t="n">
        <v>22</v>
      </c>
      <c r="H150" s="6" t="n">
        <v>1</v>
      </c>
      <c r="I150" s="6" t="str">
        <f aca="false">TEXT(B150,"YYYY-MM")</f>
        <v>2026-08</v>
      </c>
    </row>
    <row r="151" customFormat="false" ht="15" hidden="false" customHeight="false" outlineLevel="0" collapsed="false">
      <c r="A151" s="6" t="s">
        <v>193</v>
      </c>
      <c r="B151" s="7" t="n">
        <v>46248</v>
      </c>
      <c r="C151" s="6" t="s">
        <v>52</v>
      </c>
      <c r="D151" s="6" t="s">
        <v>46</v>
      </c>
      <c r="E151" s="6" t="s">
        <v>34</v>
      </c>
      <c r="F151" s="7" t="n">
        <v>46255</v>
      </c>
      <c r="G151" s="6" t="n">
        <v>7</v>
      </c>
      <c r="H151" s="6" t="n">
        <v>3</v>
      </c>
      <c r="I151" s="6" t="str">
        <f aca="false">TEXT(B151,"YYYY-MM")</f>
        <v>2026-08</v>
      </c>
    </row>
    <row r="152" customFormat="false" ht="15" hidden="false" customHeight="false" outlineLevel="0" collapsed="false">
      <c r="A152" s="6" t="s">
        <v>194</v>
      </c>
      <c r="B152" s="7" t="n">
        <v>46248</v>
      </c>
      <c r="C152" s="6" t="s">
        <v>70</v>
      </c>
      <c r="D152" s="6" t="s">
        <v>41</v>
      </c>
      <c r="E152" s="6" t="s">
        <v>34</v>
      </c>
      <c r="F152" s="7" t="n">
        <v>46258</v>
      </c>
      <c r="G152" s="6" t="n">
        <v>10</v>
      </c>
      <c r="H152" s="6" t="n">
        <v>5</v>
      </c>
      <c r="I152" s="6" t="str">
        <f aca="false">TEXT(B152,"YYYY-MM")</f>
        <v>2026-08</v>
      </c>
    </row>
    <row r="153" customFormat="false" ht="15" hidden="false" customHeight="false" outlineLevel="0" collapsed="false">
      <c r="A153" s="6" t="s">
        <v>195</v>
      </c>
      <c r="B153" s="7" t="n">
        <v>46249</v>
      </c>
      <c r="C153" s="6" t="s">
        <v>38</v>
      </c>
      <c r="D153" s="6" t="s">
        <v>56</v>
      </c>
      <c r="E153" s="6" t="s">
        <v>34</v>
      </c>
      <c r="F153" s="7" t="n">
        <v>46252</v>
      </c>
      <c r="G153" s="6" t="n">
        <v>3</v>
      </c>
      <c r="H153" s="6" t="n">
        <v>3</v>
      </c>
      <c r="I153" s="6" t="str">
        <f aca="false">TEXT(B153,"YYYY-MM")</f>
        <v>2026-08</v>
      </c>
    </row>
    <row r="154" customFormat="false" ht="15" hidden="false" customHeight="false" outlineLevel="0" collapsed="false">
      <c r="A154" s="6" t="s">
        <v>196</v>
      </c>
      <c r="B154" s="7" t="n">
        <v>46251</v>
      </c>
      <c r="C154" s="6" t="s">
        <v>40</v>
      </c>
      <c r="D154" s="6" t="s">
        <v>41</v>
      </c>
      <c r="E154" s="6" t="s">
        <v>34</v>
      </c>
      <c r="F154" s="7" t="n">
        <v>46258</v>
      </c>
      <c r="G154" s="6" t="n">
        <v>7</v>
      </c>
      <c r="H154" s="6" t="n">
        <v>5</v>
      </c>
      <c r="I154" s="6" t="str">
        <f aca="false">TEXT(B154,"YYYY-MM")</f>
        <v>2026-08</v>
      </c>
    </row>
    <row r="155" customFormat="false" ht="15" hidden="false" customHeight="false" outlineLevel="0" collapsed="false">
      <c r="A155" s="6" t="s">
        <v>197</v>
      </c>
      <c r="B155" s="7" t="n">
        <v>46252</v>
      </c>
      <c r="C155" s="6" t="s">
        <v>43</v>
      </c>
      <c r="D155" s="6" t="s">
        <v>36</v>
      </c>
      <c r="E155" s="6" t="s">
        <v>34</v>
      </c>
      <c r="F155" s="7" t="n">
        <v>46253</v>
      </c>
      <c r="G155" s="6" t="n">
        <v>1</v>
      </c>
      <c r="H155" s="6" t="n">
        <v>1</v>
      </c>
      <c r="I155" s="6" t="str">
        <f aca="false">TEXT(B155,"YYYY-MM")</f>
        <v>2026-08</v>
      </c>
    </row>
    <row r="156" customFormat="false" ht="15" hidden="false" customHeight="false" outlineLevel="0" collapsed="false">
      <c r="A156" s="6" t="s">
        <v>198</v>
      </c>
      <c r="B156" s="7" t="n">
        <v>46253</v>
      </c>
      <c r="C156" s="6" t="s">
        <v>40</v>
      </c>
      <c r="D156" s="6" t="s">
        <v>56</v>
      </c>
      <c r="E156" s="6" t="s">
        <v>34</v>
      </c>
      <c r="F156" s="7" t="n">
        <v>46261</v>
      </c>
      <c r="G156" s="6" t="n">
        <v>8</v>
      </c>
      <c r="H156" s="6" t="n">
        <v>3</v>
      </c>
      <c r="I156" s="6" t="str">
        <f aca="false">TEXT(B156,"YYYY-MM")</f>
        <v>2026-08</v>
      </c>
    </row>
    <row r="157" customFormat="false" ht="15" hidden="false" customHeight="false" outlineLevel="0" collapsed="false">
      <c r="A157" s="6" t="s">
        <v>199</v>
      </c>
      <c r="B157" s="7" t="n">
        <v>46254</v>
      </c>
      <c r="C157" s="6" t="s">
        <v>38</v>
      </c>
      <c r="D157" s="6" t="s">
        <v>56</v>
      </c>
      <c r="E157" s="6" t="s">
        <v>34</v>
      </c>
      <c r="F157" s="7" t="n">
        <v>46261</v>
      </c>
      <c r="G157" s="6" t="n">
        <v>7</v>
      </c>
      <c r="H157" s="6" t="n">
        <v>2</v>
      </c>
      <c r="I157" s="6" t="str">
        <f aca="false">TEXT(B157,"YYYY-MM")</f>
        <v>2026-08</v>
      </c>
    </row>
    <row r="158" customFormat="false" ht="15" hidden="false" customHeight="false" outlineLevel="0" collapsed="false">
      <c r="A158" s="6" t="s">
        <v>200</v>
      </c>
      <c r="B158" s="7" t="n">
        <v>46254</v>
      </c>
      <c r="C158" s="6" t="s">
        <v>70</v>
      </c>
      <c r="D158" s="6" t="s">
        <v>30</v>
      </c>
      <c r="E158" s="6" t="s">
        <v>34</v>
      </c>
      <c r="F158" s="7" t="n">
        <v>46260</v>
      </c>
      <c r="G158" s="6" t="n">
        <v>6</v>
      </c>
      <c r="H158" s="6" t="n">
        <v>2</v>
      </c>
      <c r="I158" s="6" t="str">
        <f aca="false">TEXT(B158,"YYYY-MM")</f>
        <v>2026-08</v>
      </c>
    </row>
    <row r="159" customFormat="false" ht="15" hidden="false" customHeight="false" outlineLevel="0" collapsed="false">
      <c r="A159" s="6" t="s">
        <v>201</v>
      </c>
      <c r="B159" s="7" t="n">
        <v>46255</v>
      </c>
      <c r="C159" s="6" t="s">
        <v>70</v>
      </c>
      <c r="D159" s="6" t="s">
        <v>33</v>
      </c>
      <c r="E159" s="6" t="s">
        <v>34</v>
      </c>
      <c r="F159" s="7" t="n">
        <v>46260</v>
      </c>
      <c r="G159" s="6" t="n">
        <v>5</v>
      </c>
      <c r="H159" s="6" t="n">
        <v>3</v>
      </c>
      <c r="I159" s="6" t="str">
        <f aca="false">TEXT(B159,"YYYY-MM")</f>
        <v>2026-08</v>
      </c>
    </row>
    <row r="160" customFormat="false" ht="15" hidden="false" customHeight="false" outlineLevel="0" collapsed="false">
      <c r="A160" s="6" t="s">
        <v>202</v>
      </c>
      <c r="B160" s="7" t="n">
        <v>46255</v>
      </c>
      <c r="C160" s="6" t="s">
        <v>70</v>
      </c>
      <c r="D160" s="6" t="s">
        <v>36</v>
      </c>
      <c r="E160" s="6" t="s">
        <v>34</v>
      </c>
      <c r="F160" s="7" t="n">
        <v>46257</v>
      </c>
      <c r="G160" s="6" t="n">
        <v>2</v>
      </c>
      <c r="H160" s="6" t="n">
        <v>1</v>
      </c>
      <c r="I160" s="6" t="str">
        <f aca="false">TEXT(B160,"YYYY-MM")</f>
        <v>2026-08</v>
      </c>
    </row>
    <row r="161" customFormat="false" ht="15" hidden="false" customHeight="false" outlineLevel="0" collapsed="false">
      <c r="A161" s="6" t="s">
        <v>203</v>
      </c>
      <c r="B161" s="7" t="n">
        <v>46256</v>
      </c>
      <c r="C161" s="6" t="s">
        <v>29</v>
      </c>
      <c r="D161" s="6" t="s">
        <v>44</v>
      </c>
      <c r="E161" s="6" t="s">
        <v>34</v>
      </c>
      <c r="F161" s="7" t="n">
        <v>46257</v>
      </c>
      <c r="G161" s="6" t="n">
        <v>1</v>
      </c>
      <c r="H161" s="6" t="n">
        <v>4</v>
      </c>
      <c r="I161" s="6" t="str">
        <f aca="false">TEXT(B161,"YYYY-MM")</f>
        <v>2026-08</v>
      </c>
    </row>
    <row r="162" customFormat="false" ht="15" hidden="false" customHeight="false" outlineLevel="0" collapsed="false">
      <c r="A162" s="6" t="s">
        <v>204</v>
      </c>
      <c r="B162" s="7" t="n">
        <v>46257</v>
      </c>
      <c r="C162" s="6" t="s">
        <v>40</v>
      </c>
      <c r="D162" s="6" t="s">
        <v>41</v>
      </c>
      <c r="E162" s="6" t="s">
        <v>34</v>
      </c>
      <c r="F162" s="7" t="n">
        <v>46268</v>
      </c>
      <c r="G162" s="6" t="n">
        <v>11</v>
      </c>
      <c r="H162" s="6" t="n">
        <v>5</v>
      </c>
      <c r="I162" s="6" t="str">
        <f aca="false">TEXT(B162,"YYYY-MM")</f>
        <v>2026-08</v>
      </c>
    </row>
    <row r="163" customFormat="false" ht="15" hidden="false" customHeight="false" outlineLevel="0" collapsed="false">
      <c r="A163" s="6" t="s">
        <v>205</v>
      </c>
      <c r="B163" s="7" t="n">
        <v>46257</v>
      </c>
      <c r="C163" s="6" t="s">
        <v>43</v>
      </c>
      <c r="D163" s="6" t="s">
        <v>46</v>
      </c>
      <c r="E163" s="6" t="s">
        <v>34</v>
      </c>
      <c r="F163" s="7" t="n">
        <v>46280</v>
      </c>
      <c r="G163" s="6" t="n">
        <v>23</v>
      </c>
      <c r="H163" s="6" t="n">
        <v>5</v>
      </c>
      <c r="I163" s="6" t="str">
        <f aca="false">TEXT(B163,"YYYY-MM")</f>
        <v>2026-08</v>
      </c>
    </row>
    <row r="164" customFormat="false" ht="15" hidden="false" customHeight="false" outlineLevel="0" collapsed="false">
      <c r="A164" s="6" t="s">
        <v>206</v>
      </c>
      <c r="B164" s="7" t="n">
        <v>46257</v>
      </c>
      <c r="C164" s="6" t="s">
        <v>29</v>
      </c>
      <c r="D164" s="6" t="s">
        <v>36</v>
      </c>
      <c r="E164" s="6" t="s">
        <v>34</v>
      </c>
      <c r="F164" s="7" t="n">
        <v>46258</v>
      </c>
      <c r="G164" s="6" t="n">
        <v>1</v>
      </c>
      <c r="H164" s="6" t="n">
        <v>4</v>
      </c>
      <c r="I164" s="6" t="str">
        <f aca="false">TEXT(B164,"YYYY-MM")</f>
        <v>2026-08</v>
      </c>
    </row>
    <row r="165" customFormat="false" ht="15" hidden="false" customHeight="false" outlineLevel="0" collapsed="false">
      <c r="A165" s="6" t="s">
        <v>207</v>
      </c>
      <c r="B165" s="7" t="n">
        <v>46258</v>
      </c>
      <c r="C165" s="6" t="s">
        <v>40</v>
      </c>
      <c r="D165" s="6" t="s">
        <v>41</v>
      </c>
      <c r="E165" s="6" t="s">
        <v>34</v>
      </c>
      <c r="F165" s="7" t="n">
        <v>46264</v>
      </c>
      <c r="G165" s="6" t="n">
        <v>6</v>
      </c>
      <c r="H165" s="6" t="n">
        <v>3</v>
      </c>
      <c r="I165" s="6" t="str">
        <f aca="false">TEXT(B165,"YYYY-MM")</f>
        <v>2026-08</v>
      </c>
    </row>
    <row r="166" customFormat="false" ht="15" hidden="false" customHeight="false" outlineLevel="0" collapsed="false">
      <c r="A166" s="6" t="s">
        <v>208</v>
      </c>
      <c r="B166" s="7" t="n">
        <v>46258</v>
      </c>
      <c r="C166" s="6" t="s">
        <v>40</v>
      </c>
      <c r="D166" s="6" t="s">
        <v>36</v>
      </c>
      <c r="E166" s="6" t="s">
        <v>34</v>
      </c>
      <c r="F166" s="7" t="n">
        <v>46259</v>
      </c>
      <c r="G166" s="6" t="n">
        <v>1</v>
      </c>
      <c r="H166" s="6" t="n">
        <v>3</v>
      </c>
      <c r="I166" s="6" t="str">
        <f aca="false">TEXT(B166,"YYYY-MM")</f>
        <v>2026-08</v>
      </c>
    </row>
    <row r="167" customFormat="false" ht="15" hidden="false" customHeight="false" outlineLevel="0" collapsed="false">
      <c r="A167" s="6" t="s">
        <v>209</v>
      </c>
      <c r="B167" s="7" t="n">
        <v>46259</v>
      </c>
      <c r="C167" s="6" t="s">
        <v>43</v>
      </c>
      <c r="D167" s="6" t="s">
        <v>46</v>
      </c>
      <c r="E167" s="6" t="s">
        <v>34</v>
      </c>
      <c r="F167" s="7" t="n">
        <v>46279</v>
      </c>
      <c r="G167" s="6" t="n">
        <v>20</v>
      </c>
      <c r="H167" s="6" t="n">
        <v>2</v>
      </c>
      <c r="I167" s="6" t="str">
        <f aca="false">TEXT(B167,"YYYY-MM")</f>
        <v>2026-08</v>
      </c>
    </row>
    <row r="168" customFormat="false" ht="15" hidden="false" customHeight="false" outlineLevel="0" collapsed="false">
      <c r="A168" s="6" t="s">
        <v>210</v>
      </c>
      <c r="B168" s="7" t="n">
        <v>46260</v>
      </c>
      <c r="C168" s="6" t="s">
        <v>70</v>
      </c>
      <c r="D168" s="6" t="s">
        <v>56</v>
      </c>
      <c r="E168" s="6" t="s">
        <v>34</v>
      </c>
      <c r="F168" s="7" t="n">
        <v>46263</v>
      </c>
      <c r="G168" s="6" t="n">
        <v>3</v>
      </c>
      <c r="H168" s="6" t="n">
        <v>3</v>
      </c>
      <c r="I168" s="6" t="str">
        <f aca="false">TEXT(B168,"YYYY-MM")</f>
        <v>2026-08</v>
      </c>
    </row>
    <row r="169" customFormat="false" ht="15" hidden="false" customHeight="false" outlineLevel="0" collapsed="false">
      <c r="A169" s="6" t="s">
        <v>211</v>
      </c>
      <c r="B169" s="7" t="n">
        <v>46260</v>
      </c>
      <c r="C169" s="6" t="s">
        <v>40</v>
      </c>
      <c r="D169" s="6" t="s">
        <v>46</v>
      </c>
      <c r="E169" s="6" t="s">
        <v>34</v>
      </c>
      <c r="F169" s="7" t="n">
        <v>46270</v>
      </c>
      <c r="G169" s="6" t="n">
        <v>10</v>
      </c>
      <c r="H169" s="6" t="n">
        <v>3</v>
      </c>
      <c r="I169" s="6" t="str">
        <f aca="false">TEXT(B169,"YYYY-MM")</f>
        <v>2026-08</v>
      </c>
    </row>
    <row r="170" customFormat="false" ht="15" hidden="false" customHeight="false" outlineLevel="0" collapsed="false">
      <c r="A170" s="6" t="s">
        <v>212</v>
      </c>
      <c r="B170" s="7" t="n">
        <v>46260</v>
      </c>
      <c r="C170" s="6" t="s">
        <v>52</v>
      </c>
      <c r="D170" s="6" t="s">
        <v>33</v>
      </c>
      <c r="E170" s="6" t="s">
        <v>34</v>
      </c>
      <c r="F170" s="7" t="n">
        <v>46261</v>
      </c>
      <c r="G170" s="6" t="n">
        <v>1</v>
      </c>
      <c r="H170" s="6" t="n">
        <v>4</v>
      </c>
      <c r="I170" s="6" t="str">
        <f aca="false">TEXT(B170,"YYYY-MM")</f>
        <v>2026-08</v>
      </c>
    </row>
    <row r="171" customFormat="false" ht="15" hidden="false" customHeight="false" outlineLevel="0" collapsed="false">
      <c r="A171" s="6" t="s">
        <v>213</v>
      </c>
      <c r="B171" s="7" t="n">
        <v>46261</v>
      </c>
      <c r="C171" s="6" t="s">
        <v>52</v>
      </c>
      <c r="D171" s="6" t="s">
        <v>56</v>
      </c>
      <c r="E171" s="6" t="s">
        <v>34</v>
      </c>
      <c r="F171" s="7" t="n">
        <v>46266</v>
      </c>
      <c r="G171" s="6" t="n">
        <v>5</v>
      </c>
      <c r="H171" s="6" t="n">
        <v>4</v>
      </c>
      <c r="I171" s="6" t="str">
        <f aca="false">TEXT(B171,"YYYY-MM")</f>
        <v>2026-08</v>
      </c>
    </row>
    <row r="172" customFormat="false" ht="15" hidden="false" customHeight="false" outlineLevel="0" collapsed="false">
      <c r="A172" s="6" t="s">
        <v>214</v>
      </c>
      <c r="B172" s="7" t="n">
        <v>46262</v>
      </c>
      <c r="C172" s="6" t="s">
        <v>52</v>
      </c>
      <c r="D172" s="6" t="s">
        <v>56</v>
      </c>
      <c r="E172" s="6" t="s">
        <v>34</v>
      </c>
      <c r="F172" s="7" t="n">
        <v>46267</v>
      </c>
      <c r="G172" s="6" t="n">
        <v>5</v>
      </c>
      <c r="H172" s="6" t="n">
        <v>4</v>
      </c>
      <c r="I172" s="6" t="str">
        <f aca="false">TEXT(B172,"YYYY-MM")</f>
        <v>2026-08</v>
      </c>
    </row>
    <row r="173" customFormat="false" ht="15" hidden="false" customHeight="false" outlineLevel="0" collapsed="false">
      <c r="A173" s="6" t="s">
        <v>215</v>
      </c>
      <c r="B173" s="7" t="n">
        <v>46262</v>
      </c>
      <c r="C173" s="6" t="s">
        <v>52</v>
      </c>
      <c r="D173" s="6" t="s">
        <v>36</v>
      </c>
      <c r="E173" s="6" t="s">
        <v>34</v>
      </c>
      <c r="F173" s="7" t="n">
        <v>46265</v>
      </c>
      <c r="G173" s="6" t="n">
        <v>3</v>
      </c>
      <c r="H173" s="6" t="n">
        <v>2</v>
      </c>
      <c r="I173" s="6" t="str">
        <f aca="false">TEXT(B173,"YYYY-MM")</f>
        <v>2026-08</v>
      </c>
    </row>
    <row r="174" customFormat="false" ht="15" hidden="false" customHeight="false" outlineLevel="0" collapsed="false">
      <c r="A174" s="6" t="s">
        <v>216</v>
      </c>
      <c r="B174" s="7" t="n">
        <v>46263</v>
      </c>
      <c r="C174" s="6" t="s">
        <v>38</v>
      </c>
      <c r="D174" s="6" t="s">
        <v>44</v>
      </c>
      <c r="E174" s="6" t="s">
        <v>34</v>
      </c>
      <c r="F174" s="7" t="n">
        <v>46264</v>
      </c>
      <c r="G174" s="6" t="n">
        <v>1</v>
      </c>
      <c r="H174" s="6" t="n">
        <v>2</v>
      </c>
      <c r="I174" s="6" t="str">
        <f aca="false">TEXT(B174,"YYYY-MM")</f>
        <v>2026-08</v>
      </c>
    </row>
    <row r="175" customFormat="false" ht="15" hidden="false" customHeight="false" outlineLevel="0" collapsed="false">
      <c r="A175" s="6" t="s">
        <v>217</v>
      </c>
      <c r="B175" s="7" t="n">
        <v>46263</v>
      </c>
      <c r="C175" s="6" t="s">
        <v>43</v>
      </c>
      <c r="D175" s="6" t="s">
        <v>46</v>
      </c>
      <c r="E175" s="6" t="s">
        <v>34</v>
      </c>
      <c r="F175" s="7" t="n">
        <v>46271</v>
      </c>
      <c r="G175" s="6" t="n">
        <v>8</v>
      </c>
      <c r="H175" s="6" t="n">
        <v>4</v>
      </c>
      <c r="I175" s="6" t="str">
        <f aca="false">TEXT(B175,"YYYY-MM")</f>
        <v>2026-08</v>
      </c>
    </row>
    <row r="176" customFormat="false" ht="15" hidden="false" customHeight="false" outlineLevel="0" collapsed="false">
      <c r="A176" s="6" t="s">
        <v>218</v>
      </c>
      <c r="B176" s="7" t="n">
        <v>46264</v>
      </c>
      <c r="C176" s="6" t="s">
        <v>70</v>
      </c>
      <c r="D176" s="6" t="s">
        <v>46</v>
      </c>
      <c r="E176" s="6" t="s">
        <v>34</v>
      </c>
      <c r="F176" s="7" t="n">
        <v>46274</v>
      </c>
      <c r="G176" s="6" t="n">
        <v>10</v>
      </c>
      <c r="H176" s="6" t="n">
        <v>3</v>
      </c>
      <c r="I176" s="6" t="str">
        <f aca="false">TEXT(B176,"YYYY-MM")</f>
        <v>2026-08</v>
      </c>
    </row>
    <row r="177" customFormat="false" ht="15" hidden="false" customHeight="false" outlineLevel="0" collapsed="false">
      <c r="A177" s="6" t="s">
        <v>219</v>
      </c>
      <c r="B177" s="7" t="n">
        <v>46265</v>
      </c>
      <c r="C177" s="6" t="s">
        <v>70</v>
      </c>
      <c r="D177" s="6" t="s">
        <v>36</v>
      </c>
      <c r="E177" s="6" t="s">
        <v>34</v>
      </c>
      <c r="F177" s="7" t="n">
        <v>46267</v>
      </c>
      <c r="G177" s="6" t="n">
        <v>2</v>
      </c>
      <c r="H177" s="6" t="n">
        <v>3</v>
      </c>
      <c r="I177" s="6" t="str">
        <f aca="false">TEXT(B177,"YYYY-MM")</f>
        <v>2026-08</v>
      </c>
    </row>
    <row r="178" customFormat="false" ht="15" hidden="false" customHeight="false" outlineLevel="0" collapsed="false">
      <c r="A178" s="6" t="s">
        <v>220</v>
      </c>
      <c r="B178" s="7" t="n">
        <v>46266</v>
      </c>
      <c r="C178" s="6" t="s">
        <v>40</v>
      </c>
      <c r="D178" s="6" t="s">
        <v>56</v>
      </c>
      <c r="E178" s="6" t="s">
        <v>34</v>
      </c>
      <c r="F178" s="7" t="n">
        <v>46269</v>
      </c>
      <c r="G178" s="6" t="n">
        <v>3</v>
      </c>
      <c r="H178" s="6" t="n">
        <v>4</v>
      </c>
      <c r="I178" s="6" t="str">
        <f aca="false">TEXT(B178,"YYYY-MM")</f>
        <v>2026-09</v>
      </c>
    </row>
    <row r="179" customFormat="false" ht="15" hidden="false" customHeight="false" outlineLevel="0" collapsed="false">
      <c r="A179" s="6" t="s">
        <v>221</v>
      </c>
      <c r="B179" s="7" t="n">
        <v>46267</v>
      </c>
      <c r="C179" s="6" t="s">
        <v>29</v>
      </c>
      <c r="D179" s="6" t="s">
        <v>30</v>
      </c>
      <c r="E179" s="6" t="s">
        <v>34</v>
      </c>
      <c r="F179" s="7" t="n">
        <v>46270</v>
      </c>
      <c r="G179" s="6" t="n">
        <v>3</v>
      </c>
      <c r="H179" s="6" t="n">
        <v>4</v>
      </c>
      <c r="I179" s="6" t="str">
        <f aca="false">TEXT(B179,"YYYY-MM")</f>
        <v>2026-09</v>
      </c>
    </row>
    <row r="180" customFormat="false" ht="15" hidden="false" customHeight="false" outlineLevel="0" collapsed="false">
      <c r="A180" s="6" t="s">
        <v>222</v>
      </c>
      <c r="B180" s="7" t="n">
        <v>46268</v>
      </c>
      <c r="C180" s="6" t="s">
        <v>38</v>
      </c>
      <c r="D180" s="6" t="s">
        <v>56</v>
      </c>
      <c r="E180" s="6" t="s">
        <v>34</v>
      </c>
      <c r="F180" s="7" t="n">
        <v>46274</v>
      </c>
      <c r="G180" s="6" t="n">
        <v>6</v>
      </c>
      <c r="H180" s="6" t="n">
        <v>2</v>
      </c>
      <c r="I180" s="6" t="str">
        <f aca="false">TEXT(B180,"YYYY-MM")</f>
        <v>2026-09</v>
      </c>
    </row>
    <row r="181" customFormat="false" ht="15" hidden="false" customHeight="false" outlineLevel="0" collapsed="false">
      <c r="A181" s="6" t="s">
        <v>223</v>
      </c>
      <c r="B181" s="7" t="n">
        <v>46269</v>
      </c>
      <c r="C181" s="6" t="s">
        <v>43</v>
      </c>
      <c r="D181" s="6" t="s">
        <v>33</v>
      </c>
      <c r="E181" s="6" t="s">
        <v>34</v>
      </c>
      <c r="F181" s="7" t="n">
        <v>46273</v>
      </c>
      <c r="G181" s="6" t="n">
        <v>4</v>
      </c>
      <c r="H181" s="6" t="n">
        <v>4</v>
      </c>
      <c r="I181" s="6" t="str">
        <f aca="false">TEXT(B181,"YYYY-MM")</f>
        <v>2026-09</v>
      </c>
    </row>
    <row r="182" customFormat="false" ht="15" hidden="false" customHeight="false" outlineLevel="0" collapsed="false">
      <c r="A182" s="6" t="s">
        <v>224</v>
      </c>
      <c r="B182" s="7" t="n">
        <v>46269</v>
      </c>
      <c r="C182" s="6" t="s">
        <v>38</v>
      </c>
      <c r="D182" s="6" t="s">
        <v>56</v>
      </c>
      <c r="E182" s="6" t="s">
        <v>34</v>
      </c>
      <c r="F182" s="7" t="n">
        <v>46272</v>
      </c>
      <c r="G182" s="6" t="n">
        <v>3</v>
      </c>
      <c r="H182" s="6" t="n">
        <v>3</v>
      </c>
      <c r="I182" s="6" t="str">
        <f aca="false">TEXT(B182,"YYYY-MM")</f>
        <v>2026-09</v>
      </c>
    </row>
    <row r="183" customFormat="false" ht="15" hidden="false" customHeight="false" outlineLevel="0" collapsed="false">
      <c r="A183" s="6" t="s">
        <v>225</v>
      </c>
      <c r="B183" s="7" t="n">
        <v>46270</v>
      </c>
      <c r="C183" s="6" t="s">
        <v>38</v>
      </c>
      <c r="D183" s="6" t="s">
        <v>41</v>
      </c>
      <c r="E183" s="6" t="s">
        <v>34</v>
      </c>
      <c r="F183" s="7" t="n">
        <v>46274</v>
      </c>
      <c r="G183" s="6" t="n">
        <v>4</v>
      </c>
      <c r="H183" s="6" t="n">
        <v>4</v>
      </c>
      <c r="I183" s="6" t="str">
        <f aca="false">TEXT(B183,"YYYY-MM")</f>
        <v>2026-09</v>
      </c>
    </row>
    <row r="184" customFormat="false" ht="15" hidden="false" customHeight="false" outlineLevel="0" collapsed="false">
      <c r="A184" s="6" t="s">
        <v>226</v>
      </c>
      <c r="B184" s="7" t="n">
        <v>46271</v>
      </c>
      <c r="C184" s="6" t="s">
        <v>43</v>
      </c>
      <c r="D184" s="6" t="s">
        <v>30</v>
      </c>
      <c r="E184" s="6" t="s">
        <v>34</v>
      </c>
      <c r="F184" s="7" t="n">
        <v>46275</v>
      </c>
      <c r="G184" s="6" t="n">
        <v>4</v>
      </c>
      <c r="H184" s="6" t="n">
        <v>5</v>
      </c>
      <c r="I184" s="6" t="str">
        <f aca="false">TEXT(B184,"YYYY-MM")</f>
        <v>2026-09</v>
      </c>
    </row>
    <row r="185" customFormat="false" ht="15" hidden="false" customHeight="false" outlineLevel="0" collapsed="false">
      <c r="A185" s="6" t="s">
        <v>227</v>
      </c>
      <c r="B185" s="7" t="n">
        <v>46272</v>
      </c>
      <c r="C185" s="6" t="s">
        <v>38</v>
      </c>
      <c r="D185" s="6" t="s">
        <v>46</v>
      </c>
      <c r="E185" s="6" t="s">
        <v>34</v>
      </c>
      <c r="F185" s="7" t="n">
        <v>46290</v>
      </c>
      <c r="G185" s="6" t="n">
        <v>18</v>
      </c>
      <c r="H185" s="6" t="n">
        <v>2</v>
      </c>
      <c r="I185" s="6" t="str">
        <f aca="false">TEXT(B185,"YYYY-MM")</f>
        <v>2026-09</v>
      </c>
    </row>
    <row r="186" customFormat="false" ht="15" hidden="false" customHeight="false" outlineLevel="0" collapsed="false">
      <c r="A186" s="6" t="s">
        <v>228</v>
      </c>
      <c r="B186" s="7" t="n">
        <v>46273</v>
      </c>
      <c r="C186" s="6" t="s">
        <v>38</v>
      </c>
      <c r="D186" s="6" t="s">
        <v>56</v>
      </c>
      <c r="E186" s="6" t="s">
        <v>34</v>
      </c>
      <c r="F186" s="7" t="n">
        <v>46275</v>
      </c>
      <c r="G186" s="6" t="n">
        <v>2</v>
      </c>
      <c r="H186" s="6" t="n">
        <v>5</v>
      </c>
      <c r="I186" s="6" t="str">
        <f aca="false">TEXT(B186,"YYYY-MM")</f>
        <v>2026-09</v>
      </c>
    </row>
    <row r="187" customFormat="false" ht="15" hidden="false" customHeight="false" outlineLevel="0" collapsed="false">
      <c r="A187" s="6" t="s">
        <v>229</v>
      </c>
      <c r="B187" s="7" t="n">
        <v>46274</v>
      </c>
      <c r="C187" s="6" t="s">
        <v>52</v>
      </c>
      <c r="D187" s="6" t="s">
        <v>46</v>
      </c>
      <c r="E187" s="6" t="s">
        <v>34</v>
      </c>
      <c r="F187" s="7" t="n">
        <v>46291</v>
      </c>
      <c r="G187" s="6" t="n">
        <v>17</v>
      </c>
      <c r="H187" s="6" t="n">
        <v>2</v>
      </c>
      <c r="I187" s="6" t="str">
        <f aca="false">TEXT(B187,"YYYY-MM")</f>
        <v>2026-09</v>
      </c>
    </row>
    <row r="188" customFormat="false" ht="15" hidden="false" customHeight="false" outlineLevel="0" collapsed="false">
      <c r="A188" s="6" t="s">
        <v>230</v>
      </c>
      <c r="B188" s="7" t="n">
        <v>46275</v>
      </c>
      <c r="C188" s="6" t="s">
        <v>52</v>
      </c>
      <c r="D188" s="6" t="s">
        <v>56</v>
      </c>
      <c r="E188" s="6" t="s">
        <v>34</v>
      </c>
      <c r="F188" s="7" t="n">
        <v>46279</v>
      </c>
      <c r="G188" s="6" t="n">
        <v>4</v>
      </c>
      <c r="H188" s="6" t="n">
        <v>3</v>
      </c>
      <c r="I188" s="6" t="str">
        <f aca="false">TEXT(B188,"YYYY-MM")</f>
        <v>2026-09</v>
      </c>
    </row>
    <row r="189" customFormat="false" ht="15" hidden="false" customHeight="false" outlineLevel="0" collapsed="false">
      <c r="A189" s="6" t="s">
        <v>231</v>
      </c>
      <c r="B189" s="7" t="n">
        <v>46275</v>
      </c>
      <c r="C189" s="6" t="s">
        <v>29</v>
      </c>
      <c r="D189" s="6" t="s">
        <v>36</v>
      </c>
      <c r="E189" s="6" t="s">
        <v>34</v>
      </c>
      <c r="F189" s="7" t="n">
        <v>46277</v>
      </c>
      <c r="G189" s="6" t="n">
        <v>2</v>
      </c>
      <c r="H189" s="6" t="n">
        <v>3</v>
      </c>
      <c r="I189" s="6" t="str">
        <f aca="false">TEXT(B189,"YYYY-MM")</f>
        <v>2026-09</v>
      </c>
    </row>
    <row r="190" customFormat="false" ht="15" hidden="false" customHeight="false" outlineLevel="0" collapsed="false">
      <c r="A190" s="6" t="s">
        <v>232</v>
      </c>
      <c r="B190" s="7" t="n">
        <v>46276</v>
      </c>
      <c r="C190" s="6" t="s">
        <v>70</v>
      </c>
      <c r="D190" s="6" t="s">
        <v>56</v>
      </c>
      <c r="E190" s="6" t="s">
        <v>34</v>
      </c>
      <c r="F190" s="7" t="n">
        <v>46284</v>
      </c>
      <c r="G190" s="6" t="n">
        <v>8</v>
      </c>
      <c r="H190" s="6" t="n">
        <v>3</v>
      </c>
      <c r="I190" s="6" t="str">
        <f aca="false">TEXT(B190,"YYYY-MM")</f>
        <v>2026-09</v>
      </c>
    </row>
    <row r="191" customFormat="false" ht="15" hidden="false" customHeight="false" outlineLevel="0" collapsed="false">
      <c r="A191" s="6" t="s">
        <v>233</v>
      </c>
      <c r="B191" s="7" t="n">
        <v>46276</v>
      </c>
      <c r="C191" s="6" t="s">
        <v>52</v>
      </c>
      <c r="D191" s="6" t="s">
        <v>56</v>
      </c>
      <c r="E191" s="6" t="s">
        <v>31</v>
      </c>
      <c r="F191" s="7"/>
      <c r="G191" s="6"/>
      <c r="H191" s="6"/>
      <c r="I191" s="6" t="str">
        <f aca="false">TEXT(B191,"YYYY-MM")</f>
        <v>2026-09</v>
      </c>
    </row>
    <row r="192" customFormat="false" ht="15" hidden="false" customHeight="false" outlineLevel="0" collapsed="false">
      <c r="A192" s="6" t="s">
        <v>234</v>
      </c>
      <c r="B192" s="7" t="n">
        <v>46277</v>
      </c>
      <c r="C192" s="6" t="s">
        <v>43</v>
      </c>
      <c r="D192" s="6" t="s">
        <v>41</v>
      </c>
      <c r="E192" s="6" t="s">
        <v>34</v>
      </c>
      <c r="F192" s="7" t="n">
        <v>46280</v>
      </c>
      <c r="G192" s="6" t="n">
        <v>3</v>
      </c>
      <c r="H192" s="6" t="n">
        <v>5</v>
      </c>
      <c r="I192" s="6" t="str">
        <f aca="false">TEXT(B192,"YYYY-MM")</f>
        <v>2026-09</v>
      </c>
    </row>
    <row r="193" customFormat="false" ht="15" hidden="false" customHeight="false" outlineLevel="0" collapsed="false">
      <c r="A193" s="6" t="s">
        <v>235</v>
      </c>
      <c r="B193" s="7" t="n">
        <v>46277</v>
      </c>
      <c r="C193" s="6" t="s">
        <v>38</v>
      </c>
      <c r="D193" s="6" t="s">
        <v>41</v>
      </c>
      <c r="E193" s="6" t="s">
        <v>34</v>
      </c>
      <c r="F193" s="7" t="n">
        <v>46287</v>
      </c>
      <c r="G193" s="6" t="n">
        <v>10</v>
      </c>
      <c r="H193" s="6" t="n">
        <v>1</v>
      </c>
      <c r="I193" s="6" t="str">
        <f aca="false">TEXT(B193,"YYYY-MM")</f>
        <v>2026-09</v>
      </c>
    </row>
    <row r="194" customFormat="false" ht="15" hidden="false" customHeight="false" outlineLevel="0" collapsed="false">
      <c r="A194" s="6" t="s">
        <v>236</v>
      </c>
      <c r="B194" s="7" t="n">
        <v>46278</v>
      </c>
      <c r="C194" s="6" t="s">
        <v>40</v>
      </c>
      <c r="D194" s="6" t="s">
        <v>30</v>
      </c>
      <c r="E194" s="6" t="s">
        <v>34</v>
      </c>
      <c r="F194" s="7" t="n">
        <v>46281</v>
      </c>
      <c r="G194" s="6" t="n">
        <v>3</v>
      </c>
      <c r="H194" s="6" t="n">
        <v>4</v>
      </c>
      <c r="I194" s="6" t="str">
        <f aca="false">TEXT(B194,"YYYY-MM")</f>
        <v>2026-09</v>
      </c>
    </row>
    <row r="195" customFormat="false" ht="15" hidden="false" customHeight="false" outlineLevel="0" collapsed="false">
      <c r="A195" s="6" t="s">
        <v>237</v>
      </c>
      <c r="B195" s="7" t="n">
        <v>46278</v>
      </c>
      <c r="C195" s="6" t="s">
        <v>40</v>
      </c>
      <c r="D195" s="6" t="s">
        <v>56</v>
      </c>
      <c r="E195" s="6" t="s">
        <v>34</v>
      </c>
      <c r="F195" s="7" t="n">
        <v>46286</v>
      </c>
      <c r="G195" s="6" t="n">
        <v>8</v>
      </c>
      <c r="H195" s="6" t="n">
        <v>3</v>
      </c>
      <c r="I195" s="6" t="str">
        <f aca="false">TEXT(B195,"YYYY-MM")</f>
        <v>2026-09</v>
      </c>
    </row>
    <row r="196" customFormat="false" ht="15" hidden="false" customHeight="false" outlineLevel="0" collapsed="false">
      <c r="A196" s="6" t="s">
        <v>238</v>
      </c>
      <c r="B196" s="7" t="n">
        <v>46279</v>
      </c>
      <c r="C196" s="6" t="s">
        <v>43</v>
      </c>
      <c r="D196" s="6" t="s">
        <v>56</v>
      </c>
      <c r="E196" s="6" t="s">
        <v>34</v>
      </c>
      <c r="F196" s="7" t="n">
        <v>46283</v>
      </c>
      <c r="G196" s="6" t="n">
        <v>4</v>
      </c>
      <c r="H196" s="6" t="n">
        <v>3</v>
      </c>
      <c r="I196" s="6" t="str">
        <f aca="false">TEXT(B196,"YYYY-MM")</f>
        <v>2026-09</v>
      </c>
    </row>
    <row r="197" customFormat="false" ht="15" hidden="false" customHeight="false" outlineLevel="0" collapsed="false">
      <c r="A197" s="6" t="s">
        <v>239</v>
      </c>
      <c r="B197" s="7" t="n">
        <v>46280</v>
      </c>
      <c r="C197" s="6" t="s">
        <v>38</v>
      </c>
      <c r="D197" s="6" t="s">
        <v>56</v>
      </c>
      <c r="E197" s="6" t="s">
        <v>34</v>
      </c>
      <c r="F197" s="7" t="n">
        <v>46286</v>
      </c>
      <c r="G197" s="6" t="n">
        <v>6</v>
      </c>
      <c r="H197" s="6" t="n">
        <v>1</v>
      </c>
      <c r="I197" s="6" t="str">
        <f aca="false">TEXT(B197,"YYYY-MM")</f>
        <v>2026-09</v>
      </c>
    </row>
    <row r="198" customFormat="false" ht="15" hidden="false" customHeight="false" outlineLevel="0" collapsed="false">
      <c r="A198" s="6" t="s">
        <v>240</v>
      </c>
      <c r="B198" s="7" t="n">
        <v>46281</v>
      </c>
      <c r="C198" s="6" t="s">
        <v>40</v>
      </c>
      <c r="D198" s="6" t="s">
        <v>41</v>
      </c>
      <c r="E198" s="6" t="s">
        <v>34</v>
      </c>
      <c r="F198" s="7" t="n">
        <v>46284</v>
      </c>
      <c r="G198" s="6" t="n">
        <v>3</v>
      </c>
      <c r="H198" s="6" t="n">
        <v>4</v>
      </c>
      <c r="I198" s="6" t="str">
        <f aca="false">TEXT(B198,"YYYY-MM")</f>
        <v>2026-09</v>
      </c>
    </row>
    <row r="199" customFormat="false" ht="15" hidden="false" customHeight="false" outlineLevel="0" collapsed="false">
      <c r="A199" s="6" t="s">
        <v>241</v>
      </c>
      <c r="B199" s="7" t="n">
        <v>46282</v>
      </c>
      <c r="C199" s="6" t="s">
        <v>38</v>
      </c>
      <c r="D199" s="6" t="s">
        <v>56</v>
      </c>
      <c r="E199" s="6" t="s">
        <v>34</v>
      </c>
      <c r="F199" s="7" t="n">
        <v>46288</v>
      </c>
      <c r="G199" s="6" t="n">
        <v>6</v>
      </c>
      <c r="H199" s="6" t="n">
        <v>1</v>
      </c>
      <c r="I199" s="6" t="str">
        <f aca="false">TEXT(B199,"YYYY-MM")</f>
        <v>2026-09</v>
      </c>
    </row>
    <row r="200" customFormat="false" ht="15" hidden="false" customHeight="false" outlineLevel="0" collapsed="false">
      <c r="A200" s="6" t="s">
        <v>242</v>
      </c>
      <c r="B200" s="7" t="n">
        <v>46283</v>
      </c>
      <c r="C200" s="6" t="s">
        <v>38</v>
      </c>
      <c r="D200" s="6" t="s">
        <v>56</v>
      </c>
      <c r="E200" s="6" t="s">
        <v>34</v>
      </c>
      <c r="F200" s="7" t="n">
        <v>46287</v>
      </c>
      <c r="G200" s="6" t="n">
        <v>4</v>
      </c>
      <c r="H200" s="6" t="n">
        <v>3</v>
      </c>
      <c r="I200" s="6" t="str">
        <f aca="false">TEXT(B200,"YYYY-MM")</f>
        <v>2026-09</v>
      </c>
    </row>
    <row r="201" customFormat="false" ht="15" hidden="false" customHeight="false" outlineLevel="0" collapsed="false">
      <c r="A201" s="6" t="s">
        <v>243</v>
      </c>
      <c r="B201" s="7" t="n">
        <v>46283</v>
      </c>
      <c r="C201" s="6" t="s">
        <v>52</v>
      </c>
      <c r="D201" s="6" t="s">
        <v>56</v>
      </c>
      <c r="E201" s="6" t="s">
        <v>34</v>
      </c>
      <c r="F201" s="7" t="n">
        <v>46289</v>
      </c>
      <c r="G201" s="6" t="n">
        <v>6</v>
      </c>
      <c r="H201" s="6" t="n">
        <v>3</v>
      </c>
      <c r="I201" s="6" t="str">
        <f aca="false">TEXT(B201,"YYYY-MM")</f>
        <v>2026-09</v>
      </c>
    </row>
    <row r="202" customFormat="false" ht="15" hidden="false" customHeight="false" outlineLevel="0" collapsed="false">
      <c r="A202" s="6" t="s">
        <v>244</v>
      </c>
      <c r="B202" s="7" t="n">
        <v>46283</v>
      </c>
      <c r="C202" s="6" t="s">
        <v>43</v>
      </c>
      <c r="D202" s="6" t="s">
        <v>56</v>
      </c>
      <c r="E202" s="6" t="s">
        <v>34</v>
      </c>
      <c r="F202" s="7" t="n">
        <v>46290</v>
      </c>
      <c r="G202" s="6" t="n">
        <v>7</v>
      </c>
      <c r="H202" s="6" t="n">
        <v>4</v>
      </c>
      <c r="I202" s="6" t="str">
        <f aca="false">TEXT(B202,"YYYY-MM")</f>
        <v>2026-09</v>
      </c>
    </row>
    <row r="203" customFormat="false" ht="15" hidden="false" customHeight="false" outlineLevel="0" collapsed="false">
      <c r="A203" s="6" t="s">
        <v>245</v>
      </c>
      <c r="B203" s="7" t="n">
        <v>46284</v>
      </c>
      <c r="C203" s="6" t="s">
        <v>43</v>
      </c>
      <c r="D203" s="6" t="s">
        <v>58</v>
      </c>
      <c r="E203" s="6" t="s">
        <v>34</v>
      </c>
      <c r="F203" s="7" t="n">
        <v>46294</v>
      </c>
      <c r="G203" s="6" t="n">
        <v>10</v>
      </c>
      <c r="H203" s="6" t="n">
        <v>3</v>
      </c>
      <c r="I203" s="6" t="str">
        <f aca="false">TEXT(B203,"YYYY-MM")</f>
        <v>2026-09</v>
      </c>
    </row>
    <row r="204" customFormat="false" ht="15" hidden="false" customHeight="false" outlineLevel="0" collapsed="false">
      <c r="A204" s="6" t="s">
        <v>246</v>
      </c>
      <c r="B204" s="7" t="n">
        <v>46284</v>
      </c>
      <c r="C204" s="6" t="s">
        <v>70</v>
      </c>
      <c r="D204" s="6" t="s">
        <v>36</v>
      </c>
      <c r="E204" s="6" t="s">
        <v>34</v>
      </c>
      <c r="F204" s="7" t="n">
        <v>46286</v>
      </c>
      <c r="G204" s="6" t="n">
        <v>2</v>
      </c>
      <c r="H204" s="6" t="n">
        <v>4</v>
      </c>
      <c r="I204" s="6" t="str">
        <f aca="false">TEXT(B204,"YYYY-MM")</f>
        <v>2026-09</v>
      </c>
    </row>
    <row r="205" customFormat="false" ht="15" hidden="false" customHeight="false" outlineLevel="0" collapsed="false">
      <c r="A205" s="6" t="s">
        <v>247</v>
      </c>
      <c r="B205" s="7" t="n">
        <v>46284</v>
      </c>
      <c r="C205" s="6" t="s">
        <v>52</v>
      </c>
      <c r="D205" s="6" t="s">
        <v>33</v>
      </c>
      <c r="E205" s="6" t="s">
        <v>34</v>
      </c>
      <c r="F205" s="7" t="n">
        <v>46288</v>
      </c>
      <c r="G205" s="6" t="n">
        <v>4</v>
      </c>
      <c r="H205" s="6" t="n">
        <v>4</v>
      </c>
      <c r="I205" s="6" t="str">
        <f aca="false">TEXT(B205,"YYYY-MM")</f>
        <v>2026-09</v>
      </c>
    </row>
    <row r="206" customFormat="false" ht="15" hidden="false" customHeight="false" outlineLevel="0" collapsed="false">
      <c r="A206" s="6" t="s">
        <v>248</v>
      </c>
      <c r="B206" s="7" t="n">
        <v>46285</v>
      </c>
      <c r="C206" s="6" t="s">
        <v>40</v>
      </c>
      <c r="D206" s="6" t="s">
        <v>56</v>
      </c>
      <c r="E206" s="6" t="s">
        <v>34</v>
      </c>
      <c r="F206" s="7" t="n">
        <v>46293</v>
      </c>
      <c r="G206" s="6" t="n">
        <v>8</v>
      </c>
      <c r="H206" s="6" t="n">
        <v>2</v>
      </c>
      <c r="I206" s="6" t="str">
        <f aca="false">TEXT(B206,"YYYY-MM")</f>
        <v>2026-09</v>
      </c>
    </row>
    <row r="207" customFormat="false" ht="15" hidden="false" customHeight="false" outlineLevel="0" collapsed="false">
      <c r="A207" s="6" t="s">
        <v>249</v>
      </c>
      <c r="B207" s="7" t="n">
        <v>46286</v>
      </c>
      <c r="C207" s="6" t="s">
        <v>40</v>
      </c>
      <c r="D207" s="6" t="s">
        <v>33</v>
      </c>
      <c r="E207" s="6" t="s">
        <v>31</v>
      </c>
      <c r="F207" s="7"/>
      <c r="G207" s="6"/>
      <c r="H207" s="6"/>
      <c r="I207" s="6" t="str">
        <f aca="false">TEXT(B207,"YYYY-MM")</f>
        <v>2026-09</v>
      </c>
    </row>
    <row r="208" customFormat="false" ht="15" hidden="false" customHeight="false" outlineLevel="0" collapsed="false">
      <c r="A208" s="6" t="s">
        <v>250</v>
      </c>
      <c r="B208" s="7" t="n">
        <v>46286</v>
      </c>
      <c r="C208" s="6" t="s">
        <v>52</v>
      </c>
      <c r="D208" s="6" t="s">
        <v>36</v>
      </c>
      <c r="E208" s="6" t="s">
        <v>34</v>
      </c>
      <c r="F208" s="7" t="n">
        <v>46287</v>
      </c>
      <c r="G208" s="6" t="n">
        <v>1</v>
      </c>
      <c r="H208" s="6" t="n">
        <v>5</v>
      </c>
      <c r="I208" s="6" t="str">
        <f aca="false">TEXT(B208,"YYYY-MM")</f>
        <v>2026-09</v>
      </c>
    </row>
    <row r="209" customFormat="false" ht="15" hidden="false" customHeight="false" outlineLevel="0" collapsed="false">
      <c r="A209" s="6" t="s">
        <v>251</v>
      </c>
      <c r="B209" s="7" t="n">
        <v>46287</v>
      </c>
      <c r="C209" s="6" t="s">
        <v>52</v>
      </c>
      <c r="D209" s="6" t="s">
        <v>56</v>
      </c>
      <c r="E209" s="6" t="s">
        <v>34</v>
      </c>
      <c r="F209" s="7" t="n">
        <v>46294</v>
      </c>
      <c r="G209" s="6" t="n">
        <v>7</v>
      </c>
      <c r="H209" s="6" t="n">
        <v>3</v>
      </c>
      <c r="I209" s="6" t="str">
        <f aca="false">TEXT(B209,"YYYY-MM")</f>
        <v>2026-09</v>
      </c>
    </row>
    <row r="210" customFormat="false" ht="15" hidden="false" customHeight="false" outlineLevel="0" collapsed="false">
      <c r="A210" s="6" t="s">
        <v>252</v>
      </c>
      <c r="B210" s="7" t="n">
        <v>46288</v>
      </c>
      <c r="C210" s="6" t="s">
        <v>29</v>
      </c>
      <c r="D210" s="6" t="s">
        <v>44</v>
      </c>
      <c r="E210" s="6" t="s">
        <v>34</v>
      </c>
      <c r="F210" s="7" t="n">
        <v>46290</v>
      </c>
      <c r="G210" s="6" t="n">
        <v>2</v>
      </c>
      <c r="H210" s="6" t="n">
        <v>5</v>
      </c>
      <c r="I210" s="6" t="str">
        <f aca="false">TEXT(B210,"YYYY-MM")</f>
        <v>2026-09</v>
      </c>
    </row>
    <row r="211" customFormat="false" ht="15" hidden="false" customHeight="false" outlineLevel="0" collapsed="false">
      <c r="A211" s="6" t="s">
        <v>253</v>
      </c>
      <c r="B211" s="7" t="n">
        <v>46288</v>
      </c>
      <c r="C211" s="6" t="s">
        <v>38</v>
      </c>
      <c r="D211" s="6" t="s">
        <v>46</v>
      </c>
      <c r="E211" s="6" t="s">
        <v>31</v>
      </c>
      <c r="F211" s="7"/>
      <c r="G211" s="6"/>
      <c r="H211" s="6"/>
      <c r="I211" s="6" t="str">
        <f aca="false">TEXT(B211,"YYYY-MM")</f>
        <v>2026-09</v>
      </c>
    </row>
    <row r="212" customFormat="false" ht="15" hidden="false" customHeight="false" outlineLevel="0" collapsed="false">
      <c r="A212" s="6" t="s">
        <v>254</v>
      </c>
      <c r="B212" s="7" t="n">
        <v>46289</v>
      </c>
      <c r="C212" s="6" t="s">
        <v>40</v>
      </c>
      <c r="D212" s="6" t="s">
        <v>30</v>
      </c>
      <c r="E212" s="6" t="s">
        <v>34</v>
      </c>
      <c r="F212" s="7" t="n">
        <v>46292</v>
      </c>
      <c r="G212" s="6" t="n">
        <v>3</v>
      </c>
      <c r="H212" s="6" t="n">
        <v>3</v>
      </c>
      <c r="I212" s="6" t="str">
        <f aca="false">TEXT(B212,"YYYY-MM")</f>
        <v>2026-09</v>
      </c>
    </row>
    <row r="213" customFormat="false" ht="15" hidden="false" customHeight="false" outlineLevel="0" collapsed="false">
      <c r="A213" s="6" t="s">
        <v>255</v>
      </c>
      <c r="B213" s="7" t="n">
        <v>46289</v>
      </c>
      <c r="C213" s="6" t="s">
        <v>38</v>
      </c>
      <c r="D213" s="6" t="s">
        <v>30</v>
      </c>
      <c r="E213" s="6" t="s">
        <v>34</v>
      </c>
      <c r="F213" s="7" t="n">
        <v>46294</v>
      </c>
      <c r="G213" s="6" t="n">
        <v>5</v>
      </c>
      <c r="H213" s="6" t="n">
        <v>4</v>
      </c>
      <c r="I213" s="6" t="str">
        <f aca="false">TEXT(B213,"YYYY-MM")</f>
        <v>2026-09</v>
      </c>
    </row>
    <row r="214" customFormat="false" ht="15" hidden="false" customHeight="false" outlineLevel="0" collapsed="false">
      <c r="A214" s="6" t="s">
        <v>256</v>
      </c>
      <c r="B214" s="7" t="n">
        <v>46293</v>
      </c>
      <c r="C214" s="6" t="s">
        <v>29</v>
      </c>
      <c r="D214" s="6" t="s">
        <v>44</v>
      </c>
      <c r="E214" s="6" t="s">
        <v>257</v>
      </c>
      <c r="F214" s="7"/>
      <c r="G214" s="6"/>
      <c r="H214" s="6"/>
      <c r="I214" s="6" t="str">
        <f aca="false">TEXT(B214,"YYYY-MM")</f>
        <v>2026-09</v>
      </c>
    </row>
    <row r="215" customFormat="false" ht="15" hidden="false" customHeight="false" outlineLevel="0" collapsed="false">
      <c r="A215" s="6" t="s">
        <v>258</v>
      </c>
      <c r="B215" s="7" t="n">
        <v>46294</v>
      </c>
      <c r="C215" s="6" t="s">
        <v>43</v>
      </c>
      <c r="D215" s="6" t="s">
        <v>41</v>
      </c>
      <c r="E215" s="6" t="s">
        <v>257</v>
      </c>
      <c r="F215" s="7"/>
      <c r="G215" s="6"/>
      <c r="H215" s="6"/>
      <c r="I215" s="6" t="str">
        <f aca="false">TEXT(B215,"YYYY-MM")</f>
        <v>2026-09</v>
      </c>
    </row>
    <row r="216" customFormat="false" ht="15" hidden="false" customHeight="false" outlineLevel="0" collapsed="false">
      <c r="A216" s="6" t="s">
        <v>259</v>
      </c>
      <c r="B216" s="7" t="n">
        <v>46294</v>
      </c>
      <c r="C216" s="6" t="s">
        <v>43</v>
      </c>
      <c r="D216" s="6" t="s">
        <v>46</v>
      </c>
      <c r="E216" s="6" t="s">
        <v>257</v>
      </c>
      <c r="F216" s="7"/>
      <c r="G216" s="6"/>
      <c r="H216" s="6"/>
      <c r="I216" s="6" t="str">
        <f aca="false">TEXT(B216,"YYYY-MM")</f>
        <v>2026-09</v>
      </c>
    </row>
    <row r="217" customFormat="false" ht="15" hidden="false" customHeight="false" outlineLevel="0" collapsed="false">
      <c r="A217" s="6" t="s">
        <v>260</v>
      </c>
      <c r="B217" s="7" t="n">
        <v>46295</v>
      </c>
      <c r="C217" s="6" t="s">
        <v>40</v>
      </c>
      <c r="D217" s="6" t="s">
        <v>56</v>
      </c>
      <c r="E217" s="6" t="s">
        <v>257</v>
      </c>
      <c r="F217" s="7"/>
      <c r="G217" s="6"/>
      <c r="H217" s="6"/>
      <c r="I217" s="6" t="str">
        <f aca="false">TEXT(B217,"YYYY-MM")</f>
        <v>2026-09</v>
      </c>
    </row>
    <row r="218" customFormat="false" ht="15" hidden="false" customHeight="false" outlineLevel="0" collapsed="false">
      <c r="A218" s="6" t="s">
        <v>261</v>
      </c>
      <c r="B218" s="7" t="n">
        <v>46295</v>
      </c>
      <c r="C218" s="6" t="s">
        <v>70</v>
      </c>
      <c r="D218" s="6" t="s">
        <v>44</v>
      </c>
      <c r="E218" s="6" t="s">
        <v>31</v>
      </c>
      <c r="F218" s="7"/>
      <c r="G218" s="6"/>
      <c r="H218" s="6"/>
      <c r="I218" s="6" t="str">
        <f aca="false">TEXT(B218,"YYYY-MM")</f>
        <v>2026-09</v>
      </c>
    </row>
  </sheetData>
  <autoFilter ref="A1:I2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5"/>
  </cols>
  <sheetData>
    <row r="1" customFormat="false" ht="17.35" hidden="false" customHeight="false" outlineLevel="0" collapsed="false">
      <c r="A1" s="8" t="s">
        <v>262</v>
      </c>
    </row>
    <row r="3" customFormat="false" ht="15" hidden="false" customHeight="false" outlineLevel="0" collapsed="false">
      <c r="A3" s="9" t="s">
        <v>263</v>
      </c>
      <c r="B3" s="9" t="s">
        <v>264</v>
      </c>
      <c r="C3" s="9" t="s">
        <v>265</v>
      </c>
    </row>
    <row r="4" customFormat="false" ht="15" hidden="false" customHeight="false" outlineLevel="0" collapsed="false">
      <c r="A4" s="10" t="s">
        <v>56</v>
      </c>
      <c r="B4" s="10" t="n">
        <f aca="false">COUNTIF(Data!$D$2:$D$218,A4)</f>
        <v>63</v>
      </c>
      <c r="C4" s="11" t="n">
        <f aca="false">B4/$B$12</f>
        <v>0.290322580645161</v>
      </c>
    </row>
    <row r="5" customFormat="false" ht="15" hidden="false" customHeight="false" outlineLevel="0" collapsed="false">
      <c r="A5" s="10" t="s">
        <v>36</v>
      </c>
      <c r="B5" s="10" t="n">
        <f aca="false">COUNTIF(Data!$D$2:$D$218,A5)</f>
        <v>35</v>
      </c>
      <c r="C5" s="11" t="n">
        <f aca="false">B5/$B$12</f>
        <v>0.161290322580645</v>
      </c>
    </row>
    <row r="6" customFormat="false" ht="15" hidden="false" customHeight="false" outlineLevel="0" collapsed="false">
      <c r="A6" s="10" t="s">
        <v>41</v>
      </c>
      <c r="B6" s="10" t="n">
        <f aca="false">COUNTIF(Data!$D$2:$D$218,A6)</f>
        <v>30</v>
      </c>
      <c r="C6" s="11" t="n">
        <f aca="false">B6/$B$12</f>
        <v>0.138248847926267</v>
      </c>
    </row>
    <row r="7" customFormat="false" ht="15" hidden="false" customHeight="false" outlineLevel="0" collapsed="false">
      <c r="A7" s="10" t="s">
        <v>46</v>
      </c>
      <c r="B7" s="10" t="n">
        <f aca="false">COUNTIF(Data!$D$2:$D$218,A7)</f>
        <v>28</v>
      </c>
      <c r="C7" s="11" t="n">
        <f aca="false">B7/$B$12</f>
        <v>0.129032258064516</v>
      </c>
    </row>
    <row r="8" customFormat="false" ht="15" hidden="false" customHeight="false" outlineLevel="0" collapsed="false">
      <c r="A8" s="10" t="s">
        <v>30</v>
      </c>
      <c r="B8" s="10" t="n">
        <f aca="false">COUNTIF(Data!$D$2:$D$218,A8)</f>
        <v>21</v>
      </c>
      <c r="C8" s="11" t="n">
        <f aca="false">B8/$B$12</f>
        <v>0.0967741935483871</v>
      </c>
    </row>
    <row r="9" customFormat="false" ht="15" hidden="false" customHeight="false" outlineLevel="0" collapsed="false">
      <c r="A9" s="10" t="s">
        <v>44</v>
      </c>
      <c r="B9" s="10" t="n">
        <f aca="false">COUNTIF(Data!$D$2:$D$218,A9)</f>
        <v>19</v>
      </c>
      <c r="C9" s="11" t="n">
        <f aca="false">B9/$B$12</f>
        <v>0.0875576036866359</v>
      </c>
    </row>
    <row r="10" customFormat="false" ht="15" hidden="false" customHeight="false" outlineLevel="0" collapsed="false">
      <c r="A10" s="10" t="s">
        <v>33</v>
      </c>
      <c r="B10" s="10" t="n">
        <f aca="false">COUNTIF(Data!$D$2:$D$218,A10)</f>
        <v>14</v>
      </c>
      <c r="C10" s="11" t="n">
        <f aca="false">B10/$B$12</f>
        <v>0.0645161290322581</v>
      </c>
    </row>
    <row r="11" customFormat="false" ht="15" hidden="false" customHeight="false" outlineLevel="0" collapsed="false">
      <c r="A11" s="10" t="s">
        <v>58</v>
      </c>
      <c r="B11" s="10" t="n">
        <f aca="false">COUNTIF(Data!$D$2:$D$218,A11)</f>
        <v>7</v>
      </c>
      <c r="C11" s="11" t="n">
        <f aca="false">B11/$B$12</f>
        <v>0.032258064516129</v>
      </c>
    </row>
    <row r="12" customFormat="false" ht="15" hidden="false" customHeight="false" outlineLevel="0" collapsed="false">
      <c r="A12" s="12" t="s">
        <v>266</v>
      </c>
      <c r="B12" s="12" t="n">
        <f aca="false">SUM(B4:B11)</f>
        <v>217</v>
      </c>
      <c r="C12" s="11" t="n">
        <f aca="false">SUM(C4:C11)</f>
        <v>1</v>
      </c>
    </row>
    <row r="14" customFormat="false" ht="15" hidden="false" customHeight="false" outlineLevel="0" collapsed="false">
      <c r="A14" s="13"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5"/>
    <col collapsed="false" customWidth="true" hidden="false" outlineLevel="0" max="5" min="4" style="0" width="20"/>
    <col collapsed="false" customWidth="true" hidden="false" outlineLevel="0" max="6" min="6" style="0" width="10"/>
    <col collapsed="false" customWidth="true" hidden="false" outlineLevel="0" max="7" min="7" style="0" width="17"/>
    <col collapsed="false" customWidth="true" hidden="false" outlineLevel="0" max="8" min="8" style="0" width="14"/>
  </cols>
  <sheetData>
    <row r="1" customFormat="false" ht="17.35" hidden="false" customHeight="false" outlineLevel="0" collapsed="false">
      <c r="A1" s="8" t="s">
        <v>268</v>
      </c>
    </row>
    <row r="3" customFormat="false" ht="26.85" hidden="false" customHeight="false" outlineLevel="0" collapsed="false">
      <c r="A3" s="9" t="s">
        <v>269</v>
      </c>
      <c r="B3" s="9" t="s">
        <v>270</v>
      </c>
      <c r="C3" s="9" t="s">
        <v>271</v>
      </c>
      <c r="D3" s="9" t="s">
        <v>56</v>
      </c>
      <c r="E3" s="9" t="s">
        <v>46</v>
      </c>
      <c r="F3" s="9" t="s">
        <v>33</v>
      </c>
      <c r="G3" s="9" t="s">
        <v>272</v>
      </c>
      <c r="H3" s="9" t="s">
        <v>30</v>
      </c>
    </row>
    <row r="4" customFormat="false" ht="15" hidden="false" customHeight="false" outlineLevel="0" collapsed="false">
      <c r="A4" s="10" t="s">
        <v>273</v>
      </c>
      <c r="B4" s="10" t="s">
        <v>274</v>
      </c>
      <c r="C4" s="10" t="n">
        <f aca="false">COUNTIF(Data!$I$2:$I$218,A4)</f>
        <v>28</v>
      </c>
      <c r="D4" s="10" t="n">
        <f aca="false">COUNTIFS(Data!$I$2:$I$218,A4,Data!$D$2:$D$218,"Garbage / Sanitation")</f>
        <v>5</v>
      </c>
      <c r="E4" s="10" t="n">
        <f aca="false">COUNTIFS(Data!$I$2:$I$218,A4,Data!$D$2:$D$218,"Road / Infrastructure")</f>
        <v>2</v>
      </c>
      <c r="F4" s="10" t="n">
        <f aca="false">COUNTIFS(Data!$I$2:$I$218,A4,Data!$D$2:$D$218,"Health")</f>
        <v>2</v>
      </c>
      <c r="G4" s="10" t="n">
        <f aca="false">SUM(D4:F4)</f>
        <v>9</v>
      </c>
      <c r="H4" s="10" t="n">
        <f aca="false">COUNTIFS(Data!$I$2:$I$218,A4,Data!$D$2:$D$218,"Water Supply")</f>
        <v>6</v>
      </c>
    </row>
    <row r="5" customFormat="false" ht="15" hidden="false" customHeight="false" outlineLevel="0" collapsed="false">
      <c r="A5" s="10" t="s">
        <v>275</v>
      </c>
      <c r="B5" s="10" t="s">
        <v>276</v>
      </c>
      <c r="C5" s="10" t="n">
        <f aca="false">COUNTIF(Data!$I$2:$I$218,A5)</f>
        <v>28</v>
      </c>
      <c r="D5" s="10" t="n">
        <f aca="false">COUNTIFS(Data!$I$2:$I$218,A5,Data!$D$2:$D$218,"Garbage / Sanitation")</f>
        <v>5</v>
      </c>
      <c r="E5" s="10" t="n">
        <f aca="false">COUNTIFS(Data!$I$2:$I$218,A5,Data!$D$2:$D$218,"Road / Infrastructure")</f>
        <v>3</v>
      </c>
      <c r="F5" s="10" t="n">
        <f aca="false">COUNTIFS(Data!$I$2:$I$218,A5,Data!$D$2:$D$218,"Health")</f>
        <v>2</v>
      </c>
      <c r="G5" s="10" t="n">
        <f aca="false">SUM(D5:F5)</f>
        <v>10</v>
      </c>
      <c r="H5" s="10" t="n">
        <f aca="false">COUNTIFS(Data!$I$2:$I$218,A5,Data!$D$2:$D$218,"Water Supply")</f>
        <v>6</v>
      </c>
    </row>
    <row r="6" customFormat="false" ht="15" hidden="false" customHeight="false" outlineLevel="0" collapsed="false">
      <c r="A6" s="10" t="s">
        <v>277</v>
      </c>
      <c r="B6" s="10" t="s">
        <v>278</v>
      </c>
      <c r="C6" s="10" t="n">
        <f aca="false">COUNTIF(Data!$I$2:$I$218,A6)</f>
        <v>33</v>
      </c>
      <c r="D6" s="10" t="n">
        <f aca="false">COUNTIFS(Data!$I$2:$I$218,A6,Data!$D$2:$D$218,"Garbage / Sanitation")</f>
        <v>9</v>
      </c>
      <c r="E6" s="10" t="n">
        <f aca="false">COUNTIFS(Data!$I$2:$I$218,A6,Data!$D$2:$D$218,"Road / Infrastructure")</f>
        <v>3</v>
      </c>
      <c r="F6" s="10" t="n">
        <f aca="false">COUNTIFS(Data!$I$2:$I$218,A6,Data!$D$2:$D$218,"Health")</f>
        <v>2</v>
      </c>
      <c r="G6" s="10" t="n">
        <f aca="false">SUM(D6:F6)</f>
        <v>14</v>
      </c>
      <c r="H6" s="10" t="n">
        <f aca="false">COUNTIFS(Data!$I$2:$I$218,A6,Data!$D$2:$D$218,"Water Supply")</f>
        <v>1</v>
      </c>
    </row>
    <row r="7" customFormat="false" ht="15" hidden="false" customHeight="false" outlineLevel="0" collapsed="false">
      <c r="A7" s="10" t="s">
        <v>279</v>
      </c>
      <c r="B7" s="10" t="s">
        <v>280</v>
      </c>
      <c r="C7" s="10" t="n">
        <f aca="false">COUNTIF(Data!$I$2:$I$218,A7)</f>
        <v>49</v>
      </c>
      <c r="D7" s="10" t="n">
        <f aca="false">COUNTIFS(Data!$I$2:$I$218,A7,Data!$D$2:$D$218,"Garbage / Sanitation")</f>
        <v>18</v>
      </c>
      <c r="E7" s="10" t="n">
        <f aca="false">COUNTIFS(Data!$I$2:$I$218,A7,Data!$D$2:$D$218,"Road / Infrastructure")</f>
        <v>7</v>
      </c>
      <c r="F7" s="10" t="n">
        <f aca="false">COUNTIFS(Data!$I$2:$I$218,A7,Data!$D$2:$D$218,"Health")</f>
        <v>2</v>
      </c>
      <c r="G7" s="10" t="n">
        <f aca="false">SUM(D7:F7)</f>
        <v>27</v>
      </c>
      <c r="H7" s="10" t="n">
        <f aca="false">COUNTIFS(Data!$I$2:$I$218,A7,Data!$D$2:$D$218,"Water Supply")</f>
        <v>2</v>
      </c>
    </row>
    <row r="8" customFormat="false" ht="15" hidden="false" customHeight="false" outlineLevel="0" collapsed="false">
      <c r="A8" s="10" t="s">
        <v>281</v>
      </c>
      <c r="B8" s="10" t="s">
        <v>282</v>
      </c>
      <c r="C8" s="10" t="n">
        <f aca="false">COUNTIF(Data!$I$2:$I$218,A8)</f>
        <v>38</v>
      </c>
      <c r="D8" s="10" t="n">
        <f aca="false">COUNTIFS(Data!$I$2:$I$218,A8,Data!$D$2:$D$218,"Garbage / Sanitation")</f>
        <v>9</v>
      </c>
      <c r="E8" s="10" t="n">
        <f aca="false">COUNTIFS(Data!$I$2:$I$218,A8,Data!$D$2:$D$218,"Road / Infrastructure")</f>
        <v>9</v>
      </c>
      <c r="F8" s="10" t="n">
        <f aca="false">COUNTIFS(Data!$I$2:$I$218,A8,Data!$D$2:$D$218,"Health")</f>
        <v>3</v>
      </c>
      <c r="G8" s="10" t="n">
        <f aca="false">SUM(D8:F8)</f>
        <v>21</v>
      </c>
      <c r="H8" s="10" t="n">
        <f aca="false">COUNTIFS(Data!$I$2:$I$218,A8,Data!$D$2:$D$218,"Water Supply")</f>
        <v>1</v>
      </c>
    </row>
    <row r="9" customFormat="false" ht="15" hidden="false" customHeight="false" outlineLevel="0" collapsed="false">
      <c r="A9" s="10" t="s">
        <v>283</v>
      </c>
      <c r="B9" s="10" t="s">
        <v>284</v>
      </c>
      <c r="C9" s="10" t="n">
        <f aca="false">COUNTIF(Data!$I$2:$I$218,A9)</f>
        <v>41</v>
      </c>
      <c r="D9" s="10" t="n">
        <f aca="false">COUNTIFS(Data!$I$2:$I$218,A9,Data!$D$2:$D$218,"Garbage / Sanitation")</f>
        <v>17</v>
      </c>
      <c r="E9" s="10" t="n">
        <f aca="false">COUNTIFS(Data!$I$2:$I$218,A9,Data!$D$2:$D$218,"Road / Infrastructure")</f>
        <v>4</v>
      </c>
      <c r="F9" s="10" t="n">
        <f aca="false">COUNTIFS(Data!$I$2:$I$218,A9,Data!$D$2:$D$218,"Health")</f>
        <v>3</v>
      </c>
      <c r="G9" s="10" t="n">
        <f aca="false">SUM(D9:F9)</f>
        <v>24</v>
      </c>
      <c r="H9" s="10" t="n">
        <f aca="false">COUNTIFS(Data!$I$2:$I$218,A9,Data!$D$2:$D$218,"Water Supply")</f>
        <v>5</v>
      </c>
    </row>
    <row r="10" customFormat="false" ht="15" hidden="false" customHeight="false" outlineLevel="0" collapsed="false">
      <c r="A10" s="10"/>
      <c r="B10" s="12" t="s">
        <v>266</v>
      </c>
      <c r="C10" s="12" t="n">
        <f aca="false">SUM(C4:C9)</f>
        <v>217</v>
      </c>
      <c r="D10" s="12" t="n">
        <f aca="false">SUM(D4:D9)</f>
        <v>63</v>
      </c>
      <c r="E10" s="12" t="n">
        <f aca="false">SUM(E4:E9)</f>
        <v>28</v>
      </c>
      <c r="F10" s="12" t="n">
        <f aca="false">SUM(F4:F9)</f>
        <v>14</v>
      </c>
      <c r="G10" s="12" t="n">
        <f aca="false">SUM(G4:G9)</f>
        <v>105</v>
      </c>
      <c r="H10" s="12" t="n">
        <f aca="false">SUM(H4:H9)</f>
        <v>21</v>
      </c>
    </row>
    <row r="12" customFormat="false" ht="15" hidden="false" customHeight="false" outlineLevel="0" collapsed="false">
      <c r="B12" s="14" t="s">
        <v>285</v>
      </c>
      <c r="C12" s="15" t="n">
        <f aca="false">SUM(C4:C6)</f>
        <v>89</v>
      </c>
      <c r="G12" s="15" t="n">
        <f aca="false">SUM(G4:G6)</f>
        <v>33</v>
      </c>
      <c r="H12" s="15" t="n">
        <f aca="false">SUM(H4:H6)</f>
        <v>13</v>
      </c>
    </row>
    <row r="13" customFormat="false" ht="15" hidden="false" customHeight="false" outlineLevel="0" collapsed="false">
      <c r="B13" s="14" t="s">
        <v>286</v>
      </c>
      <c r="C13" s="15" t="n">
        <f aca="false">SUM(C7:C9)</f>
        <v>128</v>
      </c>
      <c r="G13" s="15" t="n">
        <f aca="false">SUM(G7:G9)</f>
        <v>72</v>
      </c>
      <c r="H13" s="15" t="n">
        <f aca="false">SUM(H7:H9)</f>
        <v>8</v>
      </c>
    </row>
    <row r="14" customFormat="false" ht="15" hidden="false" customHeight="false" outlineLevel="0" collapsed="false">
      <c r="B14" s="14" t="s">
        <v>287</v>
      </c>
      <c r="C14" s="16" t="n">
        <f aca="false">(C13-C12)/C12</f>
        <v>0.438202247191011</v>
      </c>
      <c r="G14" s="16" t="n">
        <f aca="false">(G13-G12)/G12</f>
        <v>1.18181818181818</v>
      </c>
      <c r="H14" s="16" t="n">
        <f aca="false">(H13-H12)/H12</f>
        <v>-0.384615384615385</v>
      </c>
    </row>
    <row r="16" customFormat="false" ht="15" hidden="false" customHeight="false" outlineLevel="0" collapsed="false">
      <c r="A16" s="13"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4" min="3" style="0" width="20"/>
    <col collapsed="false" customWidth="true" hidden="false" outlineLevel="0" max="5" min="5" style="0" width="22"/>
  </cols>
  <sheetData>
    <row r="1" customFormat="false" ht="17.35" hidden="false" customHeight="false" outlineLevel="0" collapsed="false">
      <c r="A1" s="8" t="s">
        <v>289</v>
      </c>
    </row>
    <row r="3" customFormat="false" ht="26.85" hidden="false" customHeight="false" outlineLevel="0" collapsed="false">
      <c r="A3" s="9" t="s">
        <v>290</v>
      </c>
      <c r="B3" s="9" t="s">
        <v>271</v>
      </c>
      <c r="C3" s="9" t="s">
        <v>56</v>
      </c>
      <c r="D3" s="9" t="s">
        <v>291</v>
      </c>
      <c r="E3" s="9" t="s">
        <v>41</v>
      </c>
    </row>
    <row r="4" customFormat="false" ht="15" hidden="false" customHeight="false" outlineLevel="0" collapsed="false">
      <c r="A4" s="10" t="s">
        <v>52</v>
      </c>
      <c r="B4" s="10" t="n">
        <f aca="false">COUNTIF(Data!$C$2:$C$218,A4)</f>
        <v>29</v>
      </c>
      <c r="C4" s="10" t="n">
        <f aca="false">COUNTIFS(Data!$C$2:$C$218,A4,Data!$D$2:$D$218,"Garbage / Sanitation")</f>
        <v>9</v>
      </c>
      <c r="D4" s="17" t="n">
        <f aca="false">C4/B4</f>
        <v>0.310344827586207</v>
      </c>
      <c r="E4" s="10" t="n">
        <f aca="false">COUNTIFS(Data!$C$2:$C$218,A4,Data!$D$2:$D$218,"Streetlight / Electrical")</f>
        <v>2</v>
      </c>
    </row>
    <row r="5" customFormat="false" ht="15" hidden="false" customHeight="false" outlineLevel="0" collapsed="false">
      <c r="A5" s="10" t="s">
        <v>70</v>
      </c>
      <c r="B5" s="10" t="n">
        <f aca="false">COUNTIF(Data!$C$2:$C$218,A5)</f>
        <v>29</v>
      </c>
      <c r="C5" s="10" t="n">
        <f aca="false">COUNTIFS(Data!$C$2:$C$218,A5,Data!$D$2:$D$218,"Garbage / Sanitation")</f>
        <v>5</v>
      </c>
      <c r="D5" s="17" t="n">
        <f aca="false">C5/B5</f>
        <v>0.172413793103448</v>
      </c>
      <c r="E5" s="10" t="n">
        <f aca="false">COUNTIFS(Data!$C$2:$C$218,A5,Data!$D$2:$D$218,"Streetlight / Electrical")</f>
        <v>5</v>
      </c>
    </row>
    <row r="6" customFormat="false" ht="15" hidden="false" customHeight="false" outlineLevel="0" collapsed="false">
      <c r="A6" s="10" t="s">
        <v>38</v>
      </c>
      <c r="B6" s="10" t="n">
        <f aca="false">COUNTIF(Data!$C$2:$C$218,A6)</f>
        <v>53</v>
      </c>
      <c r="C6" s="10" t="n">
        <f aca="false">COUNTIFS(Data!$C$2:$C$218,A6,Data!$D$2:$D$218,"Garbage / Sanitation")</f>
        <v>27</v>
      </c>
      <c r="D6" s="17" t="n">
        <f aca="false">C6/B6</f>
        <v>0.509433962264151</v>
      </c>
      <c r="E6" s="10" t="n">
        <f aca="false">COUNTIFS(Data!$C$2:$C$218,A6,Data!$D$2:$D$218,"Streetlight / Electrical")</f>
        <v>4</v>
      </c>
    </row>
    <row r="7" customFormat="false" ht="15" hidden="false" customHeight="false" outlineLevel="0" collapsed="false">
      <c r="A7" s="10" t="s">
        <v>29</v>
      </c>
      <c r="B7" s="10" t="n">
        <f aca="false">COUNTIF(Data!$C$2:$C$218,A7)</f>
        <v>38</v>
      </c>
      <c r="C7" s="10" t="n">
        <f aca="false">COUNTIFS(Data!$C$2:$C$218,A7,Data!$D$2:$D$218,"Garbage / Sanitation")</f>
        <v>8</v>
      </c>
      <c r="D7" s="17" t="n">
        <f aca="false">C7/B7</f>
        <v>0.210526315789474</v>
      </c>
      <c r="E7" s="10" t="n">
        <f aca="false">COUNTIFS(Data!$C$2:$C$218,A7,Data!$D$2:$D$218,"Streetlight / Electrical")</f>
        <v>5</v>
      </c>
    </row>
    <row r="8" customFormat="false" ht="15" hidden="false" customHeight="false" outlineLevel="0" collapsed="false">
      <c r="A8" s="10" t="s">
        <v>43</v>
      </c>
      <c r="B8" s="10" t="n">
        <f aca="false">COUNTIF(Data!$C$2:$C$218,A8)</f>
        <v>31</v>
      </c>
      <c r="C8" s="10" t="n">
        <f aca="false">COUNTIFS(Data!$C$2:$C$218,A8,Data!$D$2:$D$218,"Garbage / Sanitation")</f>
        <v>6</v>
      </c>
      <c r="D8" s="17" t="n">
        <f aca="false">C8/B8</f>
        <v>0.193548387096774</v>
      </c>
      <c r="E8" s="10" t="n">
        <f aca="false">COUNTIFS(Data!$C$2:$C$218,A8,Data!$D$2:$D$218,"Streetlight / Electrical")</f>
        <v>5</v>
      </c>
    </row>
    <row r="9" customFormat="false" ht="15" hidden="false" customHeight="false" outlineLevel="0" collapsed="false">
      <c r="A9" s="10" t="s">
        <v>40</v>
      </c>
      <c r="B9" s="10" t="n">
        <f aca="false">COUNTIF(Data!$C$2:$C$218,A9)</f>
        <v>37</v>
      </c>
      <c r="C9" s="10" t="n">
        <f aca="false">COUNTIFS(Data!$C$2:$C$218,A9,Data!$D$2:$D$218,"Garbage / Sanitation")</f>
        <v>8</v>
      </c>
      <c r="D9" s="17" t="n">
        <f aca="false">C9/B9</f>
        <v>0.216216216216216</v>
      </c>
      <c r="E9" s="10" t="n">
        <f aca="false">COUNTIFS(Data!$C$2:$C$218,A9,Data!$D$2:$D$218,"Streetlight / Electrical")</f>
        <v>9</v>
      </c>
    </row>
    <row r="10" customFormat="false" ht="15" hidden="false" customHeight="false" outlineLevel="0" collapsed="false">
      <c r="A10" s="12" t="s">
        <v>266</v>
      </c>
      <c r="B10" s="12" t="n">
        <f aca="false">SUM(B4:B9)</f>
        <v>217</v>
      </c>
      <c r="C10" s="12" t="n">
        <f aca="false">SUM(C4:C9)</f>
        <v>63</v>
      </c>
      <c r="D10" s="17" t="n">
        <f aca="false">C10/B10</f>
        <v>0.290322580645161</v>
      </c>
      <c r="E10" s="12" t="n">
        <f aca="false">SUM(E4:E9)</f>
        <v>30</v>
      </c>
    </row>
    <row r="12" customFormat="false" ht="15" hidden="false" customHeight="false" outlineLevel="0" collapsed="false">
      <c r="A12" s="14" t="s">
        <v>292</v>
      </c>
      <c r="D12" s="18" t="n">
        <f aca="false">C6/C10</f>
        <v>0.428571428571429</v>
      </c>
    </row>
    <row r="14" customFormat="false" ht="15" hidden="false" customHeight="false" outlineLevel="0" collapsed="false">
      <c r="A14" s="13"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22"/>
    <col collapsed="false" customWidth="true" hidden="false" outlineLevel="0" max="4" min="4" style="0" width="15"/>
  </cols>
  <sheetData>
    <row r="1" customFormat="false" ht="17.35" hidden="false" customHeight="false" outlineLevel="0" collapsed="false">
      <c r="A1" s="8" t="s">
        <v>294</v>
      </c>
    </row>
    <row r="3" customFormat="false" ht="26.85" hidden="false" customHeight="false" outlineLevel="0" collapsed="false">
      <c r="A3" s="9" t="s">
        <v>263</v>
      </c>
      <c r="B3" s="9" t="s">
        <v>295</v>
      </c>
      <c r="C3" s="9" t="s">
        <v>296</v>
      </c>
      <c r="D3" s="9" t="s">
        <v>297</v>
      </c>
    </row>
    <row r="4" customFormat="false" ht="15" hidden="false" customHeight="false" outlineLevel="0" collapsed="false">
      <c r="A4" s="10" t="s">
        <v>46</v>
      </c>
      <c r="B4" s="10" t="n">
        <f aca="false">COUNTIFS(Data!$D$2:$D$218,A4,Data!$E$2:$E$218,"Resolved")</f>
        <v>26</v>
      </c>
      <c r="C4" s="19" t="n">
        <f aca="false">AVERAGEIFS(Data!$G$2:$G$218,Data!$D$2:$D$218,A4,Data!$E$2:$E$218,"Resolved")</f>
        <v>17.1538461538462</v>
      </c>
      <c r="D4" s="10" t="n">
        <f aca="false">_xlfn.MAXIFS(Data!$G$2:$G$218,Data!$D$2:$D$218,A4,Data!$E$2:$E$218,"Resolved")</f>
        <v>25</v>
      </c>
    </row>
    <row r="5" customFormat="false" ht="15" hidden="false" customHeight="false" outlineLevel="0" collapsed="false">
      <c r="A5" s="10" t="s">
        <v>41</v>
      </c>
      <c r="B5" s="10" t="n">
        <f aca="false">COUNTIFS(Data!$D$2:$D$218,A5,Data!$E$2:$E$218,"Resolved")</f>
        <v>28</v>
      </c>
      <c r="C5" s="19" t="n">
        <f aca="false">AVERAGEIFS(Data!$G$2:$G$218,Data!$D$2:$D$218,A5,Data!$E$2:$E$218,"Resolved")</f>
        <v>7.21428571428571</v>
      </c>
      <c r="D5" s="10" t="n">
        <f aca="false">_xlfn.MAXIFS(Data!$G$2:$G$218,Data!$D$2:$D$218,A5,Data!$E$2:$E$218,"Resolved")</f>
        <v>12</v>
      </c>
    </row>
    <row r="6" customFormat="false" ht="15" hidden="false" customHeight="false" outlineLevel="0" collapsed="false">
      <c r="A6" s="10" t="s">
        <v>58</v>
      </c>
      <c r="B6" s="10" t="n">
        <f aca="false">COUNTIFS(Data!$D$2:$D$218,A6,Data!$E$2:$E$218,"Resolved")</f>
        <v>6</v>
      </c>
      <c r="C6" s="19" t="n">
        <f aca="false">AVERAGEIFS(Data!$G$2:$G$218,Data!$D$2:$D$218,A6,Data!$E$2:$E$218,"Resolved")</f>
        <v>5.5</v>
      </c>
      <c r="D6" s="10" t="n">
        <f aca="false">_xlfn.MAXIFS(Data!$G$2:$G$218,Data!$D$2:$D$218,A6,Data!$E$2:$E$218,"Resolved")</f>
        <v>10</v>
      </c>
    </row>
    <row r="7" customFormat="false" ht="15" hidden="false" customHeight="false" outlineLevel="0" collapsed="false">
      <c r="A7" s="10" t="s">
        <v>56</v>
      </c>
      <c r="B7" s="10" t="n">
        <f aca="false">COUNTIFS(Data!$D$2:$D$218,A7,Data!$E$2:$E$218,"Resolved")</f>
        <v>57</v>
      </c>
      <c r="C7" s="19" t="n">
        <f aca="false">AVERAGEIFS(Data!$G$2:$G$218,Data!$D$2:$D$218,A7,Data!$E$2:$E$218,"Resolved")</f>
        <v>5.47368421052632</v>
      </c>
      <c r="D7" s="10" t="n">
        <f aca="false">_xlfn.MAXIFS(Data!$G$2:$G$218,Data!$D$2:$D$218,A7,Data!$E$2:$E$218,"Resolved")</f>
        <v>9</v>
      </c>
    </row>
    <row r="8" customFormat="false" ht="15" hidden="false" customHeight="false" outlineLevel="0" collapsed="false">
      <c r="A8" s="10" t="s">
        <v>30</v>
      </c>
      <c r="B8" s="10" t="n">
        <f aca="false">COUNTIFS(Data!$D$2:$D$218,A8,Data!$E$2:$E$218,"Resolved")</f>
        <v>17</v>
      </c>
      <c r="C8" s="19" t="n">
        <f aca="false">AVERAGEIFS(Data!$G$2:$G$218,Data!$D$2:$D$218,A8,Data!$E$2:$E$218,"Resolved")</f>
        <v>4.70588235294118</v>
      </c>
      <c r="D8" s="10" t="n">
        <f aca="false">_xlfn.MAXIFS(Data!$G$2:$G$218,Data!$D$2:$D$218,A8,Data!$E$2:$E$218,"Resolved")</f>
        <v>8</v>
      </c>
    </row>
    <row r="9" customFormat="false" ht="15" hidden="false" customHeight="false" outlineLevel="0" collapsed="false">
      <c r="A9" s="10" t="s">
        <v>33</v>
      </c>
      <c r="B9" s="10" t="n">
        <f aca="false">COUNTIFS(Data!$D$2:$D$218,A9,Data!$E$2:$E$218,"Resolved")</f>
        <v>13</v>
      </c>
      <c r="C9" s="19" t="n">
        <f aca="false">AVERAGEIFS(Data!$G$2:$G$218,Data!$D$2:$D$218,A9,Data!$E$2:$E$218,"Resolved")</f>
        <v>3.30769230769231</v>
      </c>
      <c r="D9" s="10" t="n">
        <f aca="false">_xlfn.MAXIFS(Data!$G$2:$G$218,Data!$D$2:$D$218,A9,Data!$E$2:$E$218,"Resolved")</f>
        <v>5</v>
      </c>
    </row>
    <row r="10" customFormat="false" ht="15" hidden="false" customHeight="false" outlineLevel="0" collapsed="false">
      <c r="A10" s="10" t="s">
        <v>44</v>
      </c>
      <c r="B10" s="10" t="n">
        <f aca="false">COUNTIFS(Data!$D$2:$D$218,A10,Data!$E$2:$E$218,"Resolved")</f>
        <v>16</v>
      </c>
      <c r="C10" s="19" t="n">
        <f aca="false">AVERAGEIFS(Data!$G$2:$G$218,Data!$D$2:$D$218,A10,Data!$E$2:$E$218,"Resolved")</f>
        <v>2.1875</v>
      </c>
      <c r="D10" s="10" t="n">
        <f aca="false">_xlfn.MAXIFS(Data!$G$2:$G$218,Data!$D$2:$D$218,A10,Data!$E$2:$E$218,"Resolved")</f>
        <v>4</v>
      </c>
    </row>
    <row r="11" customFormat="false" ht="15" hidden="false" customHeight="false" outlineLevel="0" collapsed="false">
      <c r="A11" s="10" t="s">
        <v>36</v>
      </c>
      <c r="B11" s="10" t="n">
        <f aca="false">COUNTIFS(Data!$D$2:$D$218,A11,Data!$E$2:$E$218,"Resolved")</f>
        <v>34</v>
      </c>
      <c r="C11" s="19" t="n">
        <f aca="false">AVERAGEIFS(Data!$G$2:$G$218,Data!$D$2:$D$218,A11,Data!$E$2:$E$218,"Resolved")</f>
        <v>2</v>
      </c>
      <c r="D11" s="10" t="n">
        <f aca="false">_xlfn.MAXIFS(Data!$G$2:$G$218,Data!$D$2:$D$218,A11,Data!$E$2:$E$218,"Resolved")</f>
        <v>3</v>
      </c>
    </row>
    <row r="12" customFormat="false" ht="15" hidden="false" customHeight="false" outlineLevel="0" collapsed="false">
      <c r="A12" s="12" t="s">
        <v>298</v>
      </c>
      <c r="B12" s="12" t="n">
        <f aca="false">SUM(B4:B11)</f>
        <v>197</v>
      </c>
      <c r="C12" s="20" t="n">
        <f aca="false">AVERAGEIFS(Data!$G$2:$G$218,Data!$E$2:$E$218,"Resolved")</f>
        <v>6.18781725888325</v>
      </c>
      <c r="D12" s="12" t="n">
        <f aca="false">_xlfn.MAXIFS(Data!$G$2:$G$218,Data!$E$2:$E$218,"Resolved")</f>
        <v>25</v>
      </c>
    </row>
    <row r="14" customFormat="false" ht="15" hidden="false" customHeight="false" outlineLevel="0" collapsed="false">
      <c r="A14" s="14" t="s">
        <v>299</v>
      </c>
      <c r="C14" s="15" t="n">
        <f aca="false">COUNTIF(Data!$E$2:$E$218,"Pending")+COUNTIF(Data!$E$2:$E$218,"In Progress")</f>
        <v>20</v>
      </c>
    </row>
    <row r="16" customFormat="false" ht="15" hidden="false" customHeight="false" outlineLevel="0" collapsed="false">
      <c r="A16" s="13"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1"/>
    <col collapsed="false" customWidth="true" hidden="false" outlineLevel="0" max="4" min="4" style="0" width="19"/>
    <col collapsed="false" customWidth="true" hidden="false" outlineLevel="0" max="5" min="5" style="0" width="21"/>
  </cols>
  <sheetData>
    <row r="1" customFormat="false" ht="17.35" hidden="false" customHeight="false" outlineLevel="0" collapsed="false">
      <c r="A1" s="8" t="s">
        <v>301</v>
      </c>
    </row>
    <row r="3" customFormat="false" ht="26.85" hidden="false" customHeight="false" outlineLevel="0" collapsed="false">
      <c r="A3" s="9" t="s">
        <v>302</v>
      </c>
      <c r="B3" s="9" t="s">
        <v>303</v>
      </c>
      <c r="C3" s="9" t="s">
        <v>304</v>
      </c>
      <c r="D3" s="9" t="s">
        <v>295</v>
      </c>
      <c r="E3" s="9" t="s">
        <v>305</v>
      </c>
    </row>
    <row r="4" customFormat="false" ht="15" hidden="false" customHeight="false" outlineLevel="0" collapsed="false">
      <c r="A4" s="10" t="s">
        <v>306</v>
      </c>
      <c r="B4" s="21" t="n">
        <v>1</v>
      </c>
      <c r="C4" s="21" t="n">
        <v>3</v>
      </c>
      <c r="D4" s="10" t="n">
        <f aca="false">COUNTIFS(Data!$E$2:$E$218,"Resolved",Data!$G$2:$G$218,"&gt;="&amp;B4,Data!$G$2:$G$218,"&lt;="&amp;C4)</f>
        <v>78</v>
      </c>
      <c r="E4" s="22" t="n">
        <f aca="false">AVERAGEIFS(Data!$H$2:$H$218,Data!$E$2:$E$218,"Resolved",Data!$G$2:$G$218,"&gt;="&amp;B4,Data!$G$2:$G$218,"&lt;="&amp;C4)</f>
        <v>3.20512820512821</v>
      </c>
    </row>
    <row r="5" customFormat="false" ht="15" hidden="false" customHeight="false" outlineLevel="0" collapsed="false">
      <c r="A5" s="10" t="s">
        <v>307</v>
      </c>
      <c r="B5" s="21" t="n">
        <v>4</v>
      </c>
      <c r="C5" s="21" t="n">
        <v>7</v>
      </c>
      <c r="D5" s="10" t="n">
        <f aca="false">COUNTIFS(Data!$E$2:$E$218,"Resolved",Data!$G$2:$G$218,"&gt;="&amp;B5,Data!$G$2:$G$218,"&lt;="&amp;C5)</f>
        <v>62</v>
      </c>
      <c r="E5" s="22" t="n">
        <f aca="false">AVERAGEIFS(Data!$H$2:$H$218,Data!$E$2:$E$218,"Resolved",Data!$G$2:$G$218,"&gt;="&amp;B5,Data!$G$2:$G$218,"&lt;="&amp;C5)</f>
        <v>3.16129032258065</v>
      </c>
    </row>
    <row r="6" customFormat="false" ht="15" hidden="false" customHeight="false" outlineLevel="0" collapsed="false">
      <c r="A6" s="10" t="s">
        <v>308</v>
      </c>
      <c r="B6" s="21" t="n">
        <v>8</v>
      </c>
      <c r="C6" s="21" t="n">
        <v>14</v>
      </c>
      <c r="D6" s="10" t="n">
        <f aca="false">COUNTIFS(Data!$E$2:$E$218,"Resolved",Data!$G$2:$G$218,"&gt;="&amp;B6,Data!$G$2:$G$218,"&lt;="&amp;C6)</f>
        <v>41</v>
      </c>
      <c r="E6" s="22" t="n">
        <f aca="false">AVERAGEIFS(Data!$H$2:$H$218,Data!$E$2:$E$218,"Resolved",Data!$G$2:$G$218,"&gt;="&amp;B6,Data!$G$2:$G$218,"&lt;="&amp;C6)</f>
        <v>3.09756097560976</v>
      </c>
    </row>
    <row r="7" customFormat="false" ht="15" hidden="false" customHeight="false" outlineLevel="0" collapsed="false">
      <c r="A7" s="10" t="s">
        <v>309</v>
      </c>
      <c r="B7" s="21" t="n">
        <v>15</v>
      </c>
      <c r="C7" s="21" t="n">
        <v>999</v>
      </c>
      <c r="D7" s="10" t="n">
        <f aca="false">COUNTIFS(Data!$E$2:$E$218,"Resolved",Data!$G$2:$G$218,"&gt;="&amp;B7,Data!$G$2:$G$218,"&lt;="&amp;C7)</f>
        <v>16</v>
      </c>
      <c r="E7" s="22" t="n">
        <f aca="false">AVERAGEIFS(Data!$H$2:$H$218,Data!$E$2:$E$218,"Resolved",Data!$G$2:$G$218,"&gt;="&amp;B7,Data!$G$2:$G$218,"&lt;="&amp;C7)</f>
        <v>2.5</v>
      </c>
    </row>
    <row r="8" customFormat="false" ht="15" hidden="false" customHeight="false" outlineLevel="0" collapsed="false">
      <c r="A8" s="12" t="s">
        <v>310</v>
      </c>
      <c r="B8" s="10"/>
      <c r="C8" s="10"/>
      <c r="D8" s="12" t="n">
        <f aca="false">SUM(D4:D7)</f>
        <v>197</v>
      </c>
      <c r="E8" s="23" t="n">
        <f aca="false">AVERAGEIFS(Data!$H$2:$H$218,Data!$E$2:$E$218,"Resolved")</f>
        <v>3.11167512690355</v>
      </c>
    </row>
    <row r="10" customFormat="false" ht="15" hidden="false" customHeight="false" outlineLevel="0" collapsed="false">
      <c r="A10" s="14" t="s">
        <v>311</v>
      </c>
      <c r="E10" s="24" t="n">
        <f aca="false">E7-E4</f>
        <v>-0.705128205128205</v>
      </c>
    </row>
    <row r="12" customFormat="false" ht="15" hidden="false" customHeight="false" outlineLevel="0" collapsed="false">
      <c r="A12" s="13" t="s">
        <v>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55"/>
  </cols>
  <sheetData>
    <row r="1" customFormat="false" ht="17.35" hidden="false" customHeight="false" outlineLevel="0" collapsed="false">
      <c r="A1" s="8" t="s">
        <v>313</v>
      </c>
    </row>
    <row r="3" customFormat="false" ht="15" hidden="false" customHeight="false" outlineLevel="0" collapsed="false">
      <c r="A3" s="9" t="s">
        <v>314</v>
      </c>
      <c r="B3" s="9" t="s">
        <v>315</v>
      </c>
      <c r="C3" s="9" t="s">
        <v>316</v>
      </c>
    </row>
    <row r="4" customFormat="false" ht="94.5" hidden="false" customHeight="true" outlineLevel="0" collapsed="false">
      <c r="A4" s="25" t="s">
        <v>317</v>
      </c>
      <c r="B4" s="26" t="s">
        <v>318</v>
      </c>
      <c r="C4" s="26" t="s">
        <v>319</v>
      </c>
    </row>
    <row r="5" customFormat="false" ht="94.5" hidden="false" customHeight="true" outlineLevel="0" collapsed="false">
      <c r="A5" s="25" t="s">
        <v>320</v>
      </c>
      <c r="B5" s="26" t="s">
        <v>321</v>
      </c>
      <c r="C5" s="26" t="s">
        <v>322</v>
      </c>
    </row>
    <row r="6" customFormat="false" ht="94.5" hidden="false" customHeight="true" outlineLevel="0" collapsed="false">
      <c r="A6" s="25" t="s">
        <v>323</v>
      </c>
      <c r="B6" s="26" t="s">
        <v>324</v>
      </c>
      <c r="C6" s="26" t="s">
        <v>325</v>
      </c>
    </row>
    <row r="7" customFormat="false" ht="94.5" hidden="false" customHeight="true" outlineLevel="0" collapsed="false">
      <c r="A7" s="25" t="s">
        <v>326</v>
      </c>
      <c r="B7" s="26" t="s">
        <v>327</v>
      </c>
      <c r="C7" s="26" t="s">
        <v>328</v>
      </c>
    </row>
    <row r="8" customFormat="false" ht="94.5" hidden="false" customHeight="true" outlineLevel="0" collapsed="false">
      <c r="A8" s="25" t="s">
        <v>329</v>
      </c>
      <c r="B8" s="26" t="s">
        <v>330</v>
      </c>
      <c r="C8" s="26" t="s">
        <v>331</v>
      </c>
    </row>
    <row r="10" customFormat="false" ht="15" hidden="false" customHeight="false" outlineLevel="0" collapsed="false">
      <c r="A10" s="13" t="s">
        <v>332</v>
      </c>
    </row>
    <row r="11" customFormat="false" ht="15" hidden="false" customHeight="false" outlineLevel="0" collapsed="false">
      <c r="A11" s="13"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2026-10-13T23:42:22Z</dcterms:created>
  <dc:creator>openpyxl</dc:creator>
  <dc:description/>
  <dc:language>en-US</dc:language>
  <cp:lastModifiedBy/>
  <dcterms:modified xsi:type="dcterms:W3CDTF">2026-10-14T07:42:24Z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